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B29FD7B-5233-4829-98E4-3114B0446423}" xr6:coauthVersionLast="45" xr6:coauthVersionMax="45" xr10:uidLastSave="{00000000-0000-0000-0000-000000000000}"/>
  <bookViews>
    <workbookView xWindow="-120" yWindow="-120" windowWidth="29040" windowHeight="15840" activeTab="2" xr2:uid="{00000000-000D-0000-FFFF-FFFF00000000}"/>
  </bookViews>
  <sheets>
    <sheet name="жами лойиха" sheetId="1" r:id="rId1"/>
    <sheet name="броллер" sheetId="2" r:id="rId2"/>
    <sheet name="дастгох" sheetId="9" r:id="rId3"/>
    <sheet name="тухум1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3" i="1" l="1"/>
  <c r="H9" i="9"/>
  <c r="H8" i="9"/>
  <c r="G9" i="9"/>
  <c r="G8" i="9"/>
  <c r="F35" i="9"/>
  <c r="H34" i="9"/>
  <c r="H7" i="9" s="1"/>
  <c r="F7" i="9" s="1"/>
  <c r="G34" i="9"/>
  <c r="G7" i="9"/>
  <c r="F9" i="9"/>
  <c r="F8" i="9"/>
  <c r="F34" i="9" l="1"/>
  <c r="D7" i="2"/>
  <c r="J8" i="2"/>
  <c r="D7" i="1" s="1"/>
  <c r="M25" i="2"/>
  <c r="M8" i="2"/>
  <c r="G7" i="1" s="1"/>
  <c r="L8" i="2"/>
  <c r="K8" i="2"/>
  <c r="E7" i="1" s="1"/>
  <c r="I20" i="2"/>
  <c r="I21" i="2"/>
  <c r="J19" i="2"/>
  <c r="J10" i="2"/>
  <c r="I15" i="2"/>
  <c r="I14" i="2"/>
  <c r="M9" i="2"/>
  <c r="L9" i="2"/>
  <c r="M19" i="2"/>
  <c r="L19" i="2"/>
  <c r="K19" i="2"/>
  <c r="M16" i="2"/>
  <c r="L16" i="2"/>
  <c r="K16" i="2"/>
  <c r="J16" i="2"/>
  <c r="M10" i="2"/>
  <c r="L10" i="2"/>
  <c r="K10" i="2"/>
  <c r="G8" i="1"/>
  <c r="F8" i="1"/>
  <c r="L25" i="2"/>
  <c r="J25" i="2"/>
  <c r="K27" i="2"/>
  <c r="I27" i="2" s="1"/>
  <c r="D14" i="1"/>
  <c r="D13" i="1"/>
  <c r="E13" i="1"/>
  <c r="F32" i="9"/>
  <c r="H31" i="9"/>
  <c r="G31" i="9"/>
  <c r="F30" i="9"/>
  <c r="F29" i="9"/>
  <c r="H28" i="9"/>
  <c r="G28" i="9"/>
  <c r="G12" i="1"/>
  <c r="F12" i="1"/>
  <c r="E14" i="1"/>
  <c r="C14" i="1" s="1"/>
  <c r="G10" i="1"/>
  <c r="F26" i="9"/>
  <c r="H25" i="9"/>
  <c r="G25" i="9"/>
  <c r="F24" i="9"/>
  <c r="F23" i="9"/>
  <c r="H22" i="9"/>
  <c r="G22" i="9"/>
  <c r="F21" i="9"/>
  <c r="F20" i="9"/>
  <c r="H19" i="9"/>
  <c r="G19" i="9"/>
  <c r="F18" i="9"/>
  <c r="F17" i="9"/>
  <c r="H16" i="9"/>
  <c r="G16" i="9"/>
  <c r="H13" i="9"/>
  <c r="G13" i="9"/>
  <c r="F15" i="9"/>
  <c r="F14" i="9"/>
  <c r="H10" i="9"/>
  <c r="G10" i="9"/>
  <c r="F12" i="9"/>
  <c r="F11" i="9"/>
  <c r="D7" i="9"/>
  <c r="C7" i="9"/>
  <c r="I21" i="6"/>
  <c r="I20" i="6"/>
  <c r="I18" i="6"/>
  <c r="I17" i="6"/>
  <c r="F16" i="6"/>
  <c r="F13" i="6"/>
  <c r="F10" i="6"/>
  <c r="E22" i="6"/>
  <c r="E19" i="6"/>
  <c r="E16" i="6"/>
  <c r="E13" i="6"/>
  <c r="E10" i="6"/>
  <c r="M9" i="6"/>
  <c r="G11" i="1" s="1"/>
  <c r="L9" i="6"/>
  <c r="F11" i="1" s="1"/>
  <c r="K9" i="6"/>
  <c r="E11" i="1" s="1"/>
  <c r="J9" i="6"/>
  <c r="D11" i="1" s="1"/>
  <c r="M8" i="6"/>
  <c r="L8" i="6"/>
  <c r="F10" i="1" s="1"/>
  <c r="K8" i="6"/>
  <c r="E10" i="1" s="1"/>
  <c r="J8" i="6"/>
  <c r="D10" i="1" s="1"/>
  <c r="D9" i="1" s="1"/>
  <c r="M10" i="6"/>
  <c r="L10" i="6"/>
  <c r="K10" i="6"/>
  <c r="J10" i="6"/>
  <c r="M13" i="6"/>
  <c r="L13" i="6"/>
  <c r="K13" i="6"/>
  <c r="J13" i="6"/>
  <c r="M16" i="6"/>
  <c r="L16" i="6"/>
  <c r="K16" i="6"/>
  <c r="J16" i="6"/>
  <c r="M19" i="6"/>
  <c r="L19" i="6"/>
  <c r="K19" i="6"/>
  <c r="J19" i="6"/>
  <c r="M22" i="6"/>
  <c r="J22" i="6"/>
  <c r="I24" i="6"/>
  <c r="I23" i="6"/>
  <c r="K22" i="6"/>
  <c r="L22" i="6"/>
  <c r="I15" i="6"/>
  <c r="I14" i="6"/>
  <c r="I12" i="6"/>
  <c r="I11" i="6"/>
  <c r="G7" i="6"/>
  <c r="F19" i="6"/>
  <c r="D7" i="6"/>
  <c r="C7" i="6"/>
  <c r="I26" i="2"/>
  <c r="I25" i="2" s="1"/>
  <c r="E25" i="2"/>
  <c r="F25" i="2" s="1"/>
  <c r="G25" i="2" s="1"/>
  <c r="I24" i="2"/>
  <c r="E24" i="2"/>
  <c r="F24" i="2" s="1"/>
  <c r="G24" i="2" s="1"/>
  <c r="C7" i="2"/>
  <c r="E23" i="2"/>
  <c r="F23" i="2" s="1"/>
  <c r="G23" i="2" s="1"/>
  <c r="E22" i="2"/>
  <c r="F22" i="2" s="1"/>
  <c r="G22" i="2" s="1"/>
  <c r="I22" i="2"/>
  <c r="E19" i="2"/>
  <c r="F19" i="2" s="1"/>
  <c r="G19" i="2" s="1"/>
  <c r="I18" i="2"/>
  <c r="I17" i="2"/>
  <c r="E16" i="2"/>
  <c r="F16" i="2" s="1"/>
  <c r="G16" i="2" s="1"/>
  <c r="E13" i="2"/>
  <c r="F13" i="2" s="1"/>
  <c r="I12" i="2"/>
  <c r="I11" i="2"/>
  <c r="E10" i="2"/>
  <c r="F10" i="2" s="1"/>
  <c r="E9" i="1" l="1"/>
  <c r="I19" i="6"/>
  <c r="F13" i="9"/>
  <c r="F31" i="9"/>
  <c r="F19" i="9"/>
  <c r="I16" i="6"/>
  <c r="J7" i="6"/>
  <c r="F7" i="6"/>
  <c r="I22" i="6"/>
  <c r="I16" i="2"/>
  <c r="F25" i="9"/>
  <c r="F28" i="9"/>
  <c r="G17" i="1"/>
  <c r="K25" i="2"/>
  <c r="G10" i="2"/>
  <c r="F7" i="2"/>
  <c r="E7" i="2"/>
  <c r="F17" i="1"/>
  <c r="I10" i="2"/>
  <c r="D16" i="1"/>
  <c r="E16" i="1"/>
  <c r="F9" i="1"/>
  <c r="E12" i="1"/>
  <c r="C12" i="1" s="1"/>
  <c r="G9" i="1"/>
  <c r="F22" i="9"/>
  <c r="F16" i="9"/>
  <c r="F10" i="9"/>
  <c r="G13" i="2"/>
  <c r="I13" i="6"/>
  <c r="I10" i="6"/>
  <c r="K7" i="6"/>
  <c r="I9" i="6"/>
  <c r="C11" i="1" s="1"/>
  <c r="I8" i="6"/>
  <c r="C10" i="1" s="1"/>
  <c r="E7" i="6"/>
  <c r="M7" i="6"/>
  <c r="L7" i="6"/>
  <c r="I7" i="6" l="1"/>
  <c r="C9" i="1" s="1"/>
  <c r="D12" i="1"/>
  <c r="G7" i="2"/>
  <c r="J13" i="2"/>
  <c r="J9" i="2"/>
  <c r="D8" i="1" s="1"/>
  <c r="D17" i="1" s="1"/>
  <c r="I9" i="2"/>
  <c r="K13" i="2"/>
  <c r="K7" i="2" s="1"/>
  <c r="K9" i="2"/>
  <c r="E8" i="1" s="1"/>
  <c r="L13" i="2"/>
  <c r="L7" i="2" s="1"/>
  <c r="F7" i="1"/>
  <c r="F16" i="1" s="1"/>
  <c r="C8" i="1" l="1"/>
  <c r="C17" i="1" s="1"/>
  <c r="C22" i="1" s="1"/>
  <c r="J7" i="2"/>
  <c r="E17" i="1"/>
  <c r="E6" i="1"/>
  <c r="E15" i="1" s="1"/>
  <c r="D6" i="1"/>
  <c r="D15" i="1" s="1"/>
  <c r="F6" i="1"/>
  <c r="F15" i="1" s="1"/>
  <c r="M13" i="2"/>
  <c r="M7" i="2" s="1"/>
  <c r="I13" i="2" l="1"/>
  <c r="C7" i="1"/>
  <c r="G16" i="1"/>
  <c r="G6" i="1"/>
  <c r="G15" i="1" s="1"/>
  <c r="C6" i="1" l="1"/>
  <c r="C15" i="1" s="1"/>
  <c r="C16" i="1"/>
  <c r="I19" i="2"/>
  <c r="I7" i="2" s="1"/>
  <c r="I8" i="2"/>
</calcChain>
</file>

<file path=xl/sharedStrings.xml><?xml version="1.0" encoding="utf-8"?>
<sst xmlns="http://schemas.openxmlformats.org/spreadsheetml/2006/main" count="204" uniqueCount="82">
  <si>
    <t>№</t>
  </si>
  <si>
    <t>Лойиҳа йўналиши</t>
  </si>
  <si>
    <r>
      <t xml:space="preserve">Е-Фарминг
</t>
    </r>
    <r>
      <rPr>
        <i/>
        <sz val="16"/>
        <color rgb="FFFF0000"/>
        <rFont val="Calibri"/>
        <family val="2"/>
        <charset val="204"/>
        <scheme val="minor"/>
      </rPr>
      <t>Хитой</t>
    </r>
  </si>
  <si>
    <t>Хитой</t>
  </si>
  <si>
    <t>Жўжа  ташиш учун махсус транспорт автомобили</t>
  </si>
  <si>
    <t>Жами</t>
  </si>
  <si>
    <t>Броллер йўналиши</t>
  </si>
  <si>
    <t>Қурилишга</t>
  </si>
  <si>
    <t>Дастгоҳга</t>
  </si>
  <si>
    <t>Бино сони</t>
  </si>
  <si>
    <r>
      <t xml:space="preserve">Жалақудуқ тумани 1-фабрика
</t>
    </r>
    <r>
      <rPr>
        <i/>
        <sz val="16"/>
        <color rgb="FFFF0000"/>
        <rFont val="Calibri"/>
        <family val="2"/>
        <charset val="204"/>
        <scheme val="minor"/>
      </rPr>
      <t>(бир бино ўлчами 100*18)</t>
    </r>
    <r>
      <rPr>
        <sz val="16"/>
        <color theme="1"/>
        <rFont val="Calibri"/>
        <family val="2"/>
        <charset val="204"/>
        <scheme val="minor"/>
      </rPr>
      <t xml:space="preserve"> </t>
    </r>
  </si>
  <si>
    <t>Бир маротаба Парранда боқиш сони</t>
  </si>
  <si>
    <t>Трик вазнда (2,5кг)
тн</t>
  </si>
  <si>
    <t>Йиллик Натижа</t>
  </si>
  <si>
    <r>
      <t xml:space="preserve"> </t>
    </r>
    <r>
      <rPr>
        <b/>
        <sz val="16"/>
        <color rgb="FFFF0000"/>
        <rFont val="Calibri"/>
        <family val="2"/>
        <charset val="204"/>
        <scheme val="minor"/>
      </rPr>
      <t>6 маротаба</t>
    </r>
    <r>
      <rPr>
        <b/>
        <sz val="16"/>
        <rFont val="Calibri"/>
        <family val="2"/>
        <charset val="204"/>
        <scheme val="minor"/>
      </rPr>
      <t xml:space="preserve"> боқилади</t>
    </r>
  </si>
  <si>
    <t>Лойиҳани қиймати</t>
  </si>
  <si>
    <t>ўз маблағи</t>
  </si>
  <si>
    <t>банк кредити</t>
  </si>
  <si>
    <t>1.1</t>
  </si>
  <si>
    <t>1.2</t>
  </si>
  <si>
    <t>Озуқа</t>
  </si>
  <si>
    <t>Жўжа қиймати</t>
  </si>
  <si>
    <t>2.1</t>
  </si>
  <si>
    <t>2.2</t>
  </si>
  <si>
    <r>
      <t xml:space="preserve">Жалақудуқ тумани 2-фабрика
</t>
    </r>
    <r>
      <rPr>
        <i/>
        <sz val="16"/>
        <color rgb="FFFF0000"/>
        <rFont val="Calibri"/>
        <family val="2"/>
        <charset val="204"/>
        <scheme val="minor"/>
      </rPr>
      <t>(бир бино ўлчами 100*18)</t>
    </r>
    <r>
      <rPr>
        <sz val="16"/>
        <color theme="1"/>
        <rFont val="Calibri"/>
        <family val="2"/>
        <charset val="204"/>
        <scheme val="minor"/>
      </rPr>
      <t xml:space="preserve"> </t>
    </r>
  </si>
  <si>
    <t>Тушум</t>
  </si>
  <si>
    <r>
      <t xml:space="preserve">Жалақудуқ тумани 3-фабрика
</t>
    </r>
    <r>
      <rPr>
        <i/>
        <sz val="16"/>
        <color rgb="FFFF0000"/>
        <rFont val="Calibri"/>
        <family val="2"/>
        <charset val="204"/>
        <scheme val="minor"/>
      </rPr>
      <t>(бир бино ўлчами 100*18)</t>
    </r>
    <r>
      <rPr>
        <sz val="16"/>
        <color theme="1"/>
        <rFont val="Calibri"/>
        <family val="2"/>
        <charset val="204"/>
        <scheme val="minor"/>
      </rPr>
      <t xml:space="preserve"> </t>
    </r>
  </si>
  <si>
    <t>3.1</t>
  </si>
  <si>
    <t>3.2</t>
  </si>
  <si>
    <t>4.1</t>
  </si>
  <si>
    <t>4.2</t>
  </si>
  <si>
    <r>
      <t xml:space="preserve">Жалақудуқ тумани 4-фабрика
</t>
    </r>
    <r>
      <rPr>
        <i/>
        <sz val="16"/>
        <color rgb="FFFF0000"/>
        <rFont val="Calibri"/>
        <family val="2"/>
        <charset val="204"/>
        <scheme val="minor"/>
      </rPr>
      <t>(бир бино ўлчами 100*18)</t>
    </r>
    <r>
      <rPr>
        <sz val="16"/>
        <color theme="1"/>
        <rFont val="Calibri"/>
        <family val="2"/>
        <charset val="204"/>
        <scheme val="minor"/>
      </rPr>
      <t xml:space="preserve"> </t>
    </r>
  </si>
  <si>
    <t>Броллер йўналишида Лойиха қиймати</t>
  </si>
  <si>
    <r>
      <t xml:space="preserve">Асака тумани 2-фабрика
</t>
    </r>
    <r>
      <rPr>
        <i/>
        <sz val="16"/>
        <color rgb="FFFF0000"/>
        <rFont val="Calibri"/>
        <family val="2"/>
        <charset val="204"/>
        <scheme val="minor"/>
      </rPr>
      <t>(бир бино ўлчами 100*18)</t>
    </r>
    <r>
      <rPr>
        <sz val="16"/>
        <color theme="1"/>
        <rFont val="Calibri"/>
        <family val="2"/>
        <charset val="204"/>
        <scheme val="minor"/>
      </rPr>
      <t xml:space="preserve"> </t>
    </r>
  </si>
  <si>
    <t>5.1</t>
  </si>
  <si>
    <t>5.2</t>
  </si>
  <si>
    <t xml:space="preserve">Асака тумани 2-фабрика ер усулда боқилади </t>
  </si>
  <si>
    <t>мавжуд</t>
  </si>
  <si>
    <r>
      <t xml:space="preserve">Асака тумани 5-фабрика
</t>
    </r>
    <r>
      <rPr>
        <i/>
        <sz val="16"/>
        <color rgb="FFFF0000"/>
        <rFont val="Calibri"/>
        <family val="2"/>
        <charset val="204"/>
        <scheme val="minor"/>
      </rPr>
      <t>(бир бино ўлчами 100*18)</t>
    </r>
    <r>
      <rPr>
        <sz val="16"/>
        <color theme="1"/>
        <rFont val="Calibri"/>
        <family val="2"/>
        <charset val="204"/>
        <scheme val="minor"/>
      </rPr>
      <t xml:space="preserve"> </t>
    </r>
  </si>
  <si>
    <t>8.1.</t>
  </si>
  <si>
    <t>8.2.</t>
  </si>
  <si>
    <r>
      <t xml:space="preserve">Асака тумани 4-фабрика
</t>
    </r>
    <r>
      <rPr>
        <i/>
        <sz val="16"/>
        <color rgb="FFFF0000"/>
        <rFont val="Calibri"/>
        <family val="2"/>
        <charset val="204"/>
        <scheme val="minor"/>
      </rPr>
      <t>(бир бино ўлчами 72*18)</t>
    </r>
    <r>
      <rPr>
        <sz val="16"/>
        <color theme="1"/>
        <rFont val="Calibri"/>
        <family val="2"/>
        <charset val="204"/>
        <scheme val="minor"/>
      </rPr>
      <t xml:space="preserve"> </t>
    </r>
  </si>
  <si>
    <t>Тухум йўналишида Лойиха қиймати</t>
  </si>
  <si>
    <t>Товуқ қиймати</t>
  </si>
  <si>
    <t>Польша</t>
  </si>
  <si>
    <t>Бош 
сони</t>
  </si>
  <si>
    <r>
      <t xml:space="preserve">Е-Фарминг
</t>
    </r>
    <r>
      <rPr>
        <i/>
        <sz val="14"/>
        <color rgb="FFFF0000"/>
        <rFont val="Calibri"/>
        <family val="2"/>
        <charset val="204"/>
        <scheme val="minor"/>
      </rPr>
      <t>Хитой</t>
    </r>
  </si>
  <si>
    <r>
      <t xml:space="preserve">Хўжаобод тумани 
1-фабрика
</t>
    </r>
    <r>
      <rPr>
        <i/>
        <sz val="14"/>
        <color rgb="FFFF0000"/>
        <rFont val="Calibri"/>
        <family val="2"/>
        <charset val="204"/>
        <scheme val="minor"/>
      </rPr>
      <t>(бир бино ўлчами 110*18)</t>
    </r>
    <r>
      <rPr>
        <sz val="14"/>
        <color theme="1"/>
        <rFont val="Calibri"/>
        <family val="2"/>
        <charset val="204"/>
        <scheme val="minor"/>
      </rPr>
      <t xml:space="preserve"> </t>
    </r>
  </si>
  <si>
    <r>
      <t xml:space="preserve">Хўжаобод тумани
 2-фабрика
</t>
    </r>
    <r>
      <rPr>
        <i/>
        <sz val="14"/>
        <color rgb="FFFF0000"/>
        <rFont val="Calibri"/>
        <family val="2"/>
        <charset val="204"/>
        <scheme val="minor"/>
      </rPr>
      <t>(бир бино ўлчами 110*18)</t>
    </r>
    <r>
      <rPr>
        <sz val="14"/>
        <color theme="1"/>
        <rFont val="Calibri"/>
        <family val="2"/>
        <charset val="204"/>
        <scheme val="minor"/>
      </rPr>
      <t xml:space="preserve"> </t>
    </r>
  </si>
  <si>
    <r>
      <t xml:space="preserve">Хўжаобод тумани
 3-фабрика
</t>
    </r>
    <r>
      <rPr>
        <i/>
        <sz val="14"/>
        <color rgb="FFFF0000"/>
        <rFont val="Calibri"/>
        <family val="2"/>
        <charset val="204"/>
        <scheme val="minor"/>
      </rPr>
      <t>(бир бино ўлчами 110*18)</t>
    </r>
    <r>
      <rPr>
        <sz val="14"/>
        <color theme="1"/>
        <rFont val="Calibri"/>
        <family val="2"/>
        <charset val="204"/>
        <scheme val="minor"/>
      </rPr>
      <t xml:space="preserve"> </t>
    </r>
  </si>
  <si>
    <r>
      <t xml:space="preserve">Хўжаобод тумани 
4-фабрика
</t>
    </r>
    <r>
      <rPr>
        <i/>
        <sz val="14"/>
        <color rgb="FFFF0000"/>
        <rFont val="Calibri"/>
        <family val="2"/>
        <charset val="204"/>
        <scheme val="minor"/>
      </rPr>
      <t>Рем молодняк (бир бино ўлчами 100*18)</t>
    </r>
    <r>
      <rPr>
        <sz val="14"/>
        <color theme="1"/>
        <rFont val="Calibri"/>
        <family val="2"/>
        <charset val="204"/>
        <scheme val="minor"/>
      </rPr>
      <t xml:space="preserve"> </t>
    </r>
  </si>
  <si>
    <r>
      <t xml:space="preserve">Хўжаобод тумани 
5-фабрика
</t>
    </r>
    <r>
      <rPr>
        <i/>
        <sz val="14"/>
        <color rgb="FFFF0000"/>
        <rFont val="Calibri"/>
        <family val="2"/>
        <charset val="204"/>
        <scheme val="minor"/>
      </rPr>
      <t>Родитель гўшт йўналишида (бир бино ўлчами 100*18)</t>
    </r>
    <r>
      <rPr>
        <sz val="14"/>
        <color theme="1"/>
        <rFont val="Calibri"/>
        <family val="2"/>
        <charset val="204"/>
        <scheme val="minor"/>
      </rPr>
      <t xml:space="preserve"> </t>
    </r>
  </si>
  <si>
    <t>Умумий 
1000 бош сон</t>
  </si>
  <si>
    <t>Йиллик 1000 донада тухум</t>
  </si>
  <si>
    <t>Дастгох етказиб берувчининг номи</t>
  </si>
  <si>
    <t>1000 АКШ доллари</t>
  </si>
  <si>
    <t>Қайта ишлаш йўналиши бўйича</t>
  </si>
  <si>
    <t>Сўйиш цехини қувватини ошириш</t>
  </si>
  <si>
    <t>Товуқни ички органларини автомат олиш дастгохи</t>
  </si>
  <si>
    <t>Бир соатлик қуввати бош сонда</t>
  </si>
  <si>
    <t>Товуқ гўштини ҳаво линиясида совитиш дастгоҳи (Музлаткич)</t>
  </si>
  <si>
    <t xml:space="preserve">Ем заводни қувватини ошириш (соатига 20 тн) </t>
  </si>
  <si>
    <t>7.1</t>
  </si>
  <si>
    <t>7.2</t>
  </si>
  <si>
    <t>Жами лойиҳалар бўйича</t>
  </si>
  <si>
    <t>8.2</t>
  </si>
  <si>
    <t>Музлаткич</t>
  </si>
  <si>
    <t>1000 тн</t>
  </si>
  <si>
    <t>9.2</t>
  </si>
  <si>
    <t>Товуқ гўштини ҳар хил турдаги  қадоқлаш дастгоҳлари</t>
  </si>
  <si>
    <t>Озуқа заҳираси учун</t>
  </si>
  <si>
    <t>Жами кредит</t>
  </si>
  <si>
    <t>"Барака Хамкор Парранда" хусусий корхонасининг Тухум йўналиши бўйича 
Кредитга бўлган талаб
 РЕЖАСИ</t>
  </si>
  <si>
    <t>"Барака Хамкор Парранда" хусусий корхонасининг дастгоҳ йўналиши бўйича Кредитга бўлган талаб  РЕЖАСИ</t>
  </si>
  <si>
    <t>Дастгоҳ етказиб берувчининг номи</t>
  </si>
  <si>
    <t>"Барака Хамкор Парранда" хусусий корхонасининг Броллер бўйича Кредитга бўлган талаб
 РЕЖАСИ</t>
  </si>
  <si>
    <t>2026 йил давомида "Барака Хамкор Парранда" хусусий корхонасининг Кредитга бўлган талаб  РЕЖАСИ</t>
  </si>
  <si>
    <t>Озуқа ташиш учун махсус транспорт ҳар бири 25тн дан 8 дона ва 15 тн 2 дона</t>
  </si>
  <si>
    <t>8.</t>
  </si>
  <si>
    <t>9.</t>
  </si>
  <si>
    <t>9.1.</t>
  </si>
  <si>
    <t>Генератор   (Движок)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</si>
</sst>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₽_-;\-* #,##0.00\ _₽_-;_-* &quot;-&quot;??\ _₽_-;_-@_-"/>
    <numFmt numFmtId="165" formatCode="0.0"/>
  </numFmts>
  <fonts count="2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sz val="2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i/>
      <sz val="14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  <font>
      <i/>
      <sz val="12"/>
      <name val="Calibri"/>
      <family val="2"/>
      <charset val="204"/>
      <scheme val="minor"/>
    </font>
    <font>
      <i/>
      <sz val="16"/>
      <color rgb="FFFF0000"/>
      <name val="Calibri"/>
      <family val="2"/>
      <charset val="204"/>
      <scheme val="minor"/>
    </font>
    <font>
      <b/>
      <sz val="16"/>
      <color rgb="FFFF0000"/>
      <name val="Calibri"/>
      <family val="2"/>
      <charset val="204"/>
      <scheme val="minor"/>
    </font>
    <font>
      <b/>
      <sz val="18"/>
      <color rgb="FFFF0000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i/>
      <sz val="14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b/>
      <i/>
      <sz val="16"/>
      <color rgb="FFFF0000"/>
      <name val="Calibri"/>
      <family val="2"/>
      <charset val="204"/>
      <scheme val="minor"/>
    </font>
    <font>
      <b/>
      <sz val="14"/>
      <color rgb="FFFF0000"/>
      <name val="Calibri"/>
      <family val="2"/>
      <charset val="204"/>
      <scheme val="minor"/>
    </font>
    <font>
      <b/>
      <i/>
      <sz val="14"/>
      <color rgb="FFFF0000"/>
      <name val="Calibri"/>
      <family val="2"/>
      <charset val="204"/>
      <scheme val="minor"/>
    </font>
    <font>
      <i/>
      <sz val="14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i/>
      <sz val="14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2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43" fontId="3" fillId="0" borderId="1" xfId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17" fillId="0" borderId="1" xfId="0" applyNumberFormat="1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2" fontId="17" fillId="0" borderId="3" xfId="0" applyNumberFormat="1" applyFont="1" applyFill="1" applyBorder="1" applyAlignment="1">
      <alignment horizontal="center" vertical="center" wrapText="1"/>
    </xf>
    <xf numFmtId="43" fontId="8" fillId="0" borderId="1" xfId="1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2" fontId="14" fillId="4" borderId="3" xfId="0" applyNumberFormat="1" applyFont="1" applyFill="1" applyBorder="1" applyAlignment="1">
      <alignment horizontal="center" vertical="center" wrapText="1"/>
    </xf>
    <xf numFmtId="43" fontId="3" fillId="4" borderId="1" xfId="1" applyFont="1" applyFill="1" applyBorder="1" applyAlignment="1">
      <alignment horizontal="center" vertical="center" wrapText="1"/>
    </xf>
    <xf numFmtId="165" fontId="14" fillId="4" borderId="3" xfId="0" applyNumberFormat="1" applyFont="1" applyFill="1" applyBorder="1" applyAlignment="1">
      <alignment horizontal="center" vertical="center" wrapText="1"/>
    </xf>
    <xf numFmtId="164" fontId="17" fillId="0" borderId="3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64" fontId="7" fillId="4" borderId="3" xfId="0" applyNumberFormat="1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/>
    <xf numFmtId="164" fontId="7" fillId="4" borderId="1" xfId="0" applyNumberFormat="1" applyFont="1" applyFill="1" applyBorder="1" applyAlignment="1">
      <alignment horizontal="center" vertical="center" wrapText="1"/>
    </xf>
    <xf numFmtId="0" fontId="16" fillId="0" borderId="0" xfId="0" applyFont="1"/>
    <xf numFmtId="0" fontId="18" fillId="2" borderId="2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164" fontId="18" fillId="4" borderId="1" xfId="0" applyNumberFormat="1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164" fontId="18" fillId="4" borderId="1" xfId="0" applyNumberFormat="1" applyFont="1" applyFill="1" applyBorder="1" applyAlignment="1">
      <alignment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2" fontId="15" fillId="4" borderId="1" xfId="0" applyNumberFormat="1" applyFont="1" applyFill="1" applyBorder="1" applyAlignment="1">
      <alignment horizontal="center" vertical="center" wrapText="1"/>
    </xf>
    <xf numFmtId="165" fontId="15" fillId="4" borderId="1" xfId="0" applyNumberFormat="1" applyFont="1" applyFill="1" applyBorder="1" applyAlignment="1">
      <alignment horizontal="center" vertical="center" wrapText="1"/>
    </xf>
    <xf numFmtId="43" fontId="24" fillId="4" borderId="1" xfId="1" applyFont="1" applyFill="1" applyBorder="1" applyAlignment="1">
      <alignment vertical="center" wrapText="1"/>
    </xf>
    <xf numFmtId="0" fontId="16" fillId="4" borderId="1" xfId="0" applyFont="1" applyFill="1" applyBorder="1" applyAlignment="1">
      <alignment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4" fontId="25" fillId="0" borderId="1" xfId="0" applyNumberFormat="1" applyFont="1" applyFill="1" applyBorder="1" applyAlignment="1">
      <alignment horizontal="center" vertical="center" wrapText="1"/>
    </xf>
    <xf numFmtId="164" fontId="10" fillId="0" borderId="1" xfId="0" applyNumberFormat="1" applyFont="1" applyFill="1" applyBorder="1" applyAlignment="1">
      <alignment vertical="center" wrapText="1"/>
    </xf>
    <xf numFmtId="0" fontId="26" fillId="0" borderId="1" xfId="0" applyFont="1" applyBorder="1" applyAlignment="1">
      <alignment vertical="center" wrapText="1"/>
    </xf>
    <xf numFmtId="0" fontId="26" fillId="0" borderId="0" xfId="0" applyFont="1"/>
    <xf numFmtId="49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2" fontId="10" fillId="0" borderId="1" xfId="0" applyNumberFormat="1" applyFont="1" applyFill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43" fontId="9" fillId="0" borderId="1" xfId="1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43" fontId="8" fillId="4" borderId="1" xfId="1" applyFont="1" applyFill="1" applyBorder="1" applyAlignment="1">
      <alignment horizontal="center" vertical="center" wrapText="1"/>
    </xf>
    <xf numFmtId="43" fontId="3" fillId="3" borderId="1" xfId="1" applyFont="1" applyFill="1" applyBorder="1" applyAlignment="1">
      <alignment horizontal="center" vertical="center" wrapText="1"/>
    </xf>
    <xf numFmtId="43" fontId="8" fillId="3" borderId="1" xfId="1" applyFont="1" applyFill="1" applyBorder="1" applyAlignment="1">
      <alignment horizontal="center" vertical="center" wrapText="1"/>
    </xf>
    <xf numFmtId="43" fontId="3" fillId="3" borderId="1" xfId="1" applyFont="1" applyFill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64" fontId="27" fillId="4" borderId="3" xfId="0" applyNumberFormat="1" applyFont="1" applyFill="1" applyBorder="1" applyAlignment="1">
      <alignment horizontal="center" vertical="center" wrapText="1"/>
    </xf>
    <xf numFmtId="164" fontId="27" fillId="0" borderId="3" xfId="0" applyNumberFormat="1" applyFont="1" applyFill="1" applyBorder="1" applyAlignment="1">
      <alignment horizontal="center" vertical="center" wrapText="1"/>
    </xf>
    <xf numFmtId="43" fontId="6" fillId="4" borderId="1" xfId="1" applyFont="1" applyFill="1" applyBorder="1" applyAlignment="1">
      <alignment horizontal="center" vertical="center" wrapText="1"/>
    </xf>
    <xf numFmtId="43" fontId="28" fillId="0" borderId="1" xfId="1" applyFont="1" applyBorder="1" applyAlignment="1">
      <alignment horizontal="center" vertical="center" wrapText="1"/>
    </xf>
    <xf numFmtId="43" fontId="6" fillId="0" borderId="1" xfId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2"/>
  <sheetViews>
    <sheetView topLeftCell="A5" zoomScaleNormal="100" workbookViewId="0">
      <selection activeCell="C16" sqref="C16"/>
    </sheetView>
  </sheetViews>
  <sheetFormatPr defaultRowHeight="21" x14ac:dyDescent="0.25"/>
  <cols>
    <col min="1" max="1" width="6.42578125" style="1" customWidth="1"/>
    <col min="2" max="2" width="33.140625" style="1" customWidth="1"/>
    <col min="3" max="3" width="18.85546875" style="1" bestFit="1" customWidth="1"/>
    <col min="4" max="4" width="24.7109375" style="1" customWidth="1"/>
    <col min="5" max="5" width="21.42578125" style="1" customWidth="1"/>
    <col min="6" max="6" width="24.85546875" style="1" bestFit="1" customWidth="1"/>
    <col min="7" max="7" width="15.7109375" style="1" bestFit="1" customWidth="1"/>
    <col min="8" max="16384" width="9.140625" style="1"/>
  </cols>
  <sheetData>
    <row r="1" spans="1:7" hidden="1" x14ac:dyDescent="0.25"/>
    <row r="2" spans="1:7" ht="84" customHeight="1" x14ac:dyDescent="0.25">
      <c r="B2" s="80" t="s">
        <v>76</v>
      </c>
      <c r="C2" s="80"/>
      <c r="D2" s="80"/>
      <c r="E2" s="80"/>
      <c r="F2" s="80"/>
      <c r="G2" s="80"/>
    </row>
    <row r="3" spans="1:7" hidden="1" x14ac:dyDescent="0.25"/>
    <row r="4" spans="1:7" ht="42" customHeight="1" x14ac:dyDescent="0.25">
      <c r="A4" s="77" t="s">
        <v>0</v>
      </c>
      <c r="B4" s="77" t="s">
        <v>1</v>
      </c>
      <c r="C4" s="78" t="s">
        <v>15</v>
      </c>
      <c r="D4" s="77" t="s">
        <v>1</v>
      </c>
      <c r="E4" s="77"/>
      <c r="F4" s="77"/>
      <c r="G4" s="77"/>
    </row>
    <row r="5" spans="1:7" ht="35.25" customHeight="1" x14ac:dyDescent="0.25">
      <c r="A5" s="77"/>
      <c r="B5" s="77"/>
      <c r="C5" s="79"/>
      <c r="D5" s="4" t="s">
        <v>7</v>
      </c>
      <c r="E5" s="4" t="s">
        <v>8</v>
      </c>
      <c r="F5" s="4" t="s">
        <v>21</v>
      </c>
      <c r="G5" s="4" t="s">
        <v>20</v>
      </c>
    </row>
    <row r="6" spans="1:7" s="11" customFormat="1" x14ac:dyDescent="0.25">
      <c r="A6" s="27">
        <v>1</v>
      </c>
      <c r="B6" s="27" t="s">
        <v>6</v>
      </c>
      <c r="C6" s="34">
        <f>+C7+C8</f>
        <v>22455</v>
      </c>
      <c r="D6" s="34">
        <f>+D7+D8</f>
        <v>7780</v>
      </c>
      <c r="E6" s="34">
        <f t="shared" ref="E6:G6" si="0">+E7+E8</f>
        <v>7585</v>
      </c>
      <c r="F6" s="34">
        <f t="shared" si="0"/>
        <v>1533</v>
      </c>
      <c r="G6" s="34">
        <f t="shared" si="0"/>
        <v>5557</v>
      </c>
    </row>
    <row r="7" spans="1:7" s="11" customFormat="1" x14ac:dyDescent="0.25">
      <c r="A7" s="15"/>
      <c r="B7" s="14" t="s">
        <v>16</v>
      </c>
      <c r="C7" s="18">
        <f>+D7+E7+F7+G7</f>
        <v>10320</v>
      </c>
      <c r="D7" s="18">
        <f>+броллер!J8</f>
        <v>3230</v>
      </c>
      <c r="E7" s="18">
        <f>+броллер!K8</f>
        <v>0</v>
      </c>
      <c r="F7" s="18">
        <f>+броллер!L8</f>
        <v>1533</v>
      </c>
      <c r="G7" s="18">
        <f>+броллер!M8</f>
        <v>5557</v>
      </c>
    </row>
    <row r="8" spans="1:7" s="11" customFormat="1" x14ac:dyDescent="0.25">
      <c r="A8" s="15"/>
      <c r="B8" s="14" t="s">
        <v>17</v>
      </c>
      <c r="C8" s="18">
        <f>+D8+E8</f>
        <v>12135</v>
      </c>
      <c r="D8" s="18">
        <f>+броллер!J9</f>
        <v>4550</v>
      </c>
      <c r="E8" s="18">
        <f>+броллер!K9</f>
        <v>7585</v>
      </c>
      <c r="F8" s="18">
        <f>+броллер!L9</f>
        <v>0</v>
      </c>
      <c r="G8" s="18">
        <f>+броллер!M9</f>
        <v>0</v>
      </c>
    </row>
    <row r="9" spans="1:7" s="11" customFormat="1" ht="37.5" x14ac:dyDescent="0.25">
      <c r="A9" s="20">
        <v>2</v>
      </c>
      <c r="B9" s="38" t="s">
        <v>42</v>
      </c>
      <c r="C9" s="24">
        <f>+тухум1!I7</f>
        <v>19609</v>
      </c>
      <c r="D9" s="34">
        <f>+D10+D11</f>
        <v>4000</v>
      </c>
      <c r="E9" s="34">
        <f t="shared" ref="E9" si="1">+E10+E11</f>
        <v>7489</v>
      </c>
      <c r="F9" s="34">
        <f t="shared" ref="F9" si="2">+F10+F11</f>
        <v>7630</v>
      </c>
      <c r="G9" s="34">
        <f t="shared" ref="G9" si="3">+G10+G11</f>
        <v>490</v>
      </c>
    </row>
    <row r="10" spans="1:7" s="11" customFormat="1" x14ac:dyDescent="0.25">
      <c r="A10" s="12"/>
      <c r="B10" s="49" t="s">
        <v>16</v>
      </c>
      <c r="C10" s="13">
        <f>+тухум1!I8</f>
        <v>4290</v>
      </c>
      <c r="D10" s="13">
        <f>+тухум1!J8</f>
        <v>1400</v>
      </c>
      <c r="E10" s="13">
        <f>+тухум1!K8</f>
        <v>2400</v>
      </c>
      <c r="F10" s="13">
        <f>+тухум1!L8</f>
        <v>0</v>
      </c>
      <c r="G10" s="13">
        <f>+тухум1!M8</f>
        <v>490</v>
      </c>
    </row>
    <row r="11" spans="1:7" s="11" customFormat="1" x14ac:dyDescent="0.25">
      <c r="A11" s="12"/>
      <c r="B11" s="49" t="s">
        <v>17</v>
      </c>
      <c r="C11" s="13">
        <f>+тухум1!I9</f>
        <v>15319</v>
      </c>
      <c r="D11" s="13">
        <f>+тухум1!J9</f>
        <v>2600</v>
      </c>
      <c r="E11" s="13">
        <f>+тухум1!K9</f>
        <v>5089</v>
      </c>
      <c r="F11" s="13">
        <f>+тухум1!L9</f>
        <v>7630</v>
      </c>
      <c r="G11" s="13">
        <f>+тухум1!M9</f>
        <v>0</v>
      </c>
    </row>
    <row r="12" spans="1:7" s="11" customFormat="1" ht="42" x14ac:dyDescent="0.25">
      <c r="A12" s="27">
        <v>3</v>
      </c>
      <c r="B12" s="27" t="s">
        <v>56</v>
      </c>
      <c r="C12" s="27">
        <f>+D12+E12</f>
        <v>5777.2</v>
      </c>
      <c r="D12" s="27">
        <f>+дастгох!G7</f>
        <v>600</v>
      </c>
      <c r="E12" s="27">
        <f>+E13+E14</f>
        <v>5177.2</v>
      </c>
      <c r="F12" s="27">
        <f t="shared" ref="F12:G12" si="4">+F13+F14</f>
        <v>0</v>
      </c>
      <c r="G12" s="27">
        <f t="shared" si="4"/>
        <v>0</v>
      </c>
    </row>
    <row r="13" spans="1:7" x14ac:dyDescent="0.25">
      <c r="A13" s="2"/>
      <c r="B13" s="49" t="s">
        <v>16</v>
      </c>
      <c r="C13" s="2">
        <f>+D13+E13</f>
        <v>600</v>
      </c>
      <c r="D13" s="2">
        <f>+дастгох!G8</f>
        <v>600</v>
      </c>
      <c r="E13" s="2">
        <f>+дастгох!H8</f>
        <v>0</v>
      </c>
      <c r="F13" s="2"/>
      <c r="G13" s="2"/>
    </row>
    <row r="14" spans="1:7" x14ac:dyDescent="0.25">
      <c r="A14" s="2"/>
      <c r="B14" s="49" t="s">
        <v>17</v>
      </c>
      <c r="C14" s="2">
        <f>+D14+E14</f>
        <v>5177.2</v>
      </c>
      <c r="D14" s="2">
        <f>+дастгох!G9</f>
        <v>0</v>
      </c>
      <c r="E14" s="2">
        <f>+дастгох!H9</f>
        <v>5177.2</v>
      </c>
      <c r="F14" s="2"/>
      <c r="G14" s="2"/>
    </row>
    <row r="15" spans="1:7" ht="42" x14ac:dyDescent="0.25">
      <c r="A15" s="60">
        <v>4</v>
      </c>
      <c r="B15" s="60" t="s">
        <v>64</v>
      </c>
      <c r="C15" s="61">
        <f>+C12+C9+C6</f>
        <v>47841.2</v>
      </c>
      <c r="D15" s="61">
        <f t="shared" ref="D15:G15" si="5">+D12+D9+D6</f>
        <v>12380</v>
      </c>
      <c r="E15" s="61">
        <f t="shared" si="5"/>
        <v>20251.2</v>
      </c>
      <c r="F15" s="61">
        <f t="shared" si="5"/>
        <v>9163</v>
      </c>
      <c r="G15" s="61">
        <f t="shared" si="5"/>
        <v>6047</v>
      </c>
    </row>
    <row r="16" spans="1:7" x14ac:dyDescent="0.25">
      <c r="A16" s="63"/>
      <c r="B16" s="64" t="s">
        <v>16</v>
      </c>
      <c r="C16" s="62">
        <f t="shared" ref="C16:G16" si="6">+C13+C10+C7</f>
        <v>15210</v>
      </c>
      <c r="D16" s="62">
        <f t="shared" si="6"/>
        <v>5230</v>
      </c>
      <c r="E16" s="62">
        <f t="shared" si="6"/>
        <v>2400</v>
      </c>
      <c r="F16" s="62">
        <f t="shared" si="6"/>
        <v>1533</v>
      </c>
      <c r="G16" s="62">
        <f t="shared" si="6"/>
        <v>6047</v>
      </c>
    </row>
    <row r="17" spans="1:7" x14ac:dyDescent="0.25">
      <c r="A17" s="63"/>
      <c r="B17" s="64" t="s">
        <v>17</v>
      </c>
      <c r="C17" s="62">
        <f t="shared" ref="C17:G17" si="7">+C14+C11+C8</f>
        <v>32631.200000000001</v>
      </c>
      <c r="D17" s="62">
        <f t="shared" si="7"/>
        <v>7150</v>
      </c>
      <c r="E17" s="62">
        <f t="shared" si="7"/>
        <v>17851.2</v>
      </c>
      <c r="F17" s="62">
        <f t="shared" si="7"/>
        <v>7630</v>
      </c>
      <c r="G17" s="62">
        <f t="shared" si="7"/>
        <v>0</v>
      </c>
    </row>
    <row r="18" spans="1:7" x14ac:dyDescent="0.25">
      <c r="A18" s="60">
        <v>5</v>
      </c>
      <c r="B18" s="60" t="s">
        <v>70</v>
      </c>
      <c r="C18" s="61">
        <v>5000</v>
      </c>
      <c r="D18" s="61"/>
      <c r="E18" s="61"/>
      <c r="F18" s="61"/>
      <c r="G18" s="61"/>
    </row>
    <row r="19" spans="1:7" x14ac:dyDescent="0.25">
      <c r="A19" s="2"/>
      <c r="B19" s="2"/>
      <c r="C19" s="2"/>
      <c r="D19" s="2"/>
      <c r="E19" s="2"/>
      <c r="F19" s="2"/>
      <c r="G19" s="2"/>
    </row>
    <row r="20" spans="1:7" x14ac:dyDescent="0.25">
      <c r="A20" s="2"/>
      <c r="B20" s="2"/>
      <c r="C20" s="2"/>
      <c r="D20" s="2"/>
      <c r="E20" s="2"/>
      <c r="F20" s="2"/>
      <c r="G20" s="2"/>
    </row>
    <row r="21" spans="1:7" x14ac:dyDescent="0.25">
      <c r="A21" s="2"/>
      <c r="B21" s="2"/>
      <c r="C21" s="2"/>
      <c r="D21" s="2"/>
      <c r="E21" s="2"/>
      <c r="F21" s="2"/>
      <c r="G21" s="2"/>
    </row>
    <row r="22" spans="1:7" s="71" customFormat="1" ht="23.25" x14ac:dyDescent="0.25">
      <c r="A22" s="69"/>
      <c r="B22" s="69" t="s">
        <v>71</v>
      </c>
      <c r="C22" s="70">
        <f>+C17+C18</f>
        <v>37631.199999999997</v>
      </c>
      <c r="D22" s="69"/>
      <c r="E22" s="69"/>
      <c r="F22" s="69"/>
      <c r="G22" s="69"/>
    </row>
  </sheetData>
  <mergeCells count="5">
    <mergeCell ref="D4:G4"/>
    <mergeCell ref="C4:C5"/>
    <mergeCell ref="A4:A5"/>
    <mergeCell ref="B4:B5"/>
    <mergeCell ref="B2:G2"/>
  </mergeCells>
  <pageMargins left="0.39370078740157483" right="0.15748031496062992" top="0.27559055118110237" bottom="0.27559055118110237" header="0.19685039370078741" footer="0.23622047244094488"/>
  <pageSetup paperSize="9" scale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M28"/>
  <sheetViews>
    <sheetView zoomScale="95" zoomScaleNormal="95" workbookViewId="0">
      <selection activeCell="K20" sqref="K20"/>
    </sheetView>
  </sheetViews>
  <sheetFormatPr defaultRowHeight="21" x14ac:dyDescent="0.25"/>
  <cols>
    <col min="1" max="1" width="9.5703125" style="1" bestFit="1" customWidth="1"/>
    <col min="2" max="2" width="42.140625" style="1" customWidth="1"/>
    <col min="3" max="3" width="13.140625" style="1" bestFit="1" customWidth="1"/>
    <col min="4" max="4" width="20.5703125" style="1" customWidth="1"/>
    <col min="5" max="5" width="17.28515625" style="1" bestFit="1" customWidth="1"/>
    <col min="6" max="6" width="20" style="1" customWidth="1"/>
    <col min="7" max="7" width="18.42578125" style="1" bestFit="1" customWidth="1"/>
    <col min="8" max="8" width="21.42578125" style="1" customWidth="1"/>
    <col min="9" max="9" width="17.28515625" style="1" bestFit="1" customWidth="1"/>
    <col min="10" max="10" width="16.140625" style="1" bestFit="1" customWidth="1"/>
    <col min="11" max="11" width="19.28515625" style="1" bestFit="1" customWidth="1"/>
    <col min="12" max="12" width="16.85546875" style="1" customWidth="1"/>
    <col min="13" max="13" width="15.7109375" style="1" bestFit="1" customWidth="1"/>
    <col min="14" max="16384" width="9.140625" style="1"/>
  </cols>
  <sheetData>
    <row r="2" spans="1:13" ht="84" customHeight="1" x14ac:dyDescent="0.25">
      <c r="B2" s="82" t="s">
        <v>75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</row>
    <row r="3" spans="1:13" x14ac:dyDescent="0.25">
      <c r="K3" s="81" t="s">
        <v>55</v>
      </c>
      <c r="L3" s="81"/>
      <c r="M3" s="81"/>
    </row>
    <row r="4" spans="1:13" ht="42" customHeight="1" x14ac:dyDescent="0.25">
      <c r="A4" s="77" t="s">
        <v>0</v>
      </c>
      <c r="B4" s="77" t="s">
        <v>1</v>
      </c>
      <c r="C4" s="78" t="s">
        <v>9</v>
      </c>
      <c r="D4" s="78" t="s">
        <v>11</v>
      </c>
      <c r="E4" s="83" t="s">
        <v>13</v>
      </c>
      <c r="F4" s="84"/>
      <c r="G4" s="85"/>
      <c r="H4" s="78" t="s">
        <v>54</v>
      </c>
      <c r="I4" s="78" t="s">
        <v>15</v>
      </c>
      <c r="J4" s="77" t="s">
        <v>1</v>
      </c>
      <c r="K4" s="77"/>
      <c r="L4" s="77"/>
      <c r="M4" s="77"/>
    </row>
    <row r="5" spans="1:13" ht="74.25" customHeight="1" x14ac:dyDescent="0.25">
      <c r="A5" s="77"/>
      <c r="B5" s="77"/>
      <c r="C5" s="79"/>
      <c r="D5" s="79"/>
      <c r="E5" s="3" t="s">
        <v>14</v>
      </c>
      <c r="F5" s="3" t="s">
        <v>12</v>
      </c>
      <c r="G5" s="3" t="s">
        <v>25</v>
      </c>
      <c r="H5" s="79"/>
      <c r="I5" s="79"/>
      <c r="J5" s="4" t="s">
        <v>7</v>
      </c>
      <c r="K5" s="4" t="s">
        <v>8</v>
      </c>
      <c r="L5" s="4" t="s">
        <v>21</v>
      </c>
      <c r="M5" s="4" t="s">
        <v>20</v>
      </c>
    </row>
    <row r="6" spans="1:13" s="11" customFormat="1" hidden="1" x14ac:dyDescent="0.25">
      <c r="A6" s="9"/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 s="11" customFormat="1" ht="42" x14ac:dyDescent="0.25">
      <c r="A7" s="27"/>
      <c r="B7" s="27" t="s">
        <v>32</v>
      </c>
      <c r="C7" s="28">
        <f>+C10+C13+C16+C19+C22+C23</f>
        <v>47</v>
      </c>
      <c r="D7" s="28">
        <f>+D10+D13+D16+D19+D22+D23+D24+D25</f>
        <v>565000</v>
      </c>
      <c r="E7" s="28">
        <f>+E10+E13+E16+E19+E22+E23+E24+E25</f>
        <v>24060</v>
      </c>
      <c r="F7" s="28">
        <f>+F10+F13+F16+F19+F22+F23+F24+F25</f>
        <v>60150</v>
      </c>
      <c r="G7" s="28">
        <f>+G10+G13+G16+G19+G22+G23+G24+G25</f>
        <v>108270</v>
      </c>
      <c r="H7" s="29" t="s">
        <v>3</v>
      </c>
      <c r="I7" s="28">
        <f>+I10+I13+I16+I19+I22+I24+I23+I25</f>
        <v>22455</v>
      </c>
      <c r="J7" s="28">
        <f>+J10+J13+J16+J19+J22+J23+J24+J25</f>
        <v>7780</v>
      </c>
      <c r="K7" s="28">
        <f>+K10+K13+K16+K19+K22+K23+K24+K25</f>
        <v>7585</v>
      </c>
      <c r="L7" s="28">
        <f>+L10+L13+L16+L19+L22+L23+L24+L25</f>
        <v>1533</v>
      </c>
      <c r="M7" s="28">
        <f>+M10+M13+M16+M19+M22+M23+M24+M25</f>
        <v>5557</v>
      </c>
    </row>
    <row r="8" spans="1:13" s="11" customFormat="1" x14ac:dyDescent="0.25">
      <c r="A8" s="9"/>
      <c r="B8" s="14" t="s">
        <v>16</v>
      </c>
      <c r="C8" s="10"/>
      <c r="D8" s="10"/>
      <c r="E8" s="10"/>
      <c r="F8" s="10"/>
      <c r="G8" s="10"/>
      <c r="H8" s="10"/>
      <c r="I8" s="26">
        <f t="shared" ref="I8:M9" si="0">+I11+I14+I17+I20+I26</f>
        <v>10320</v>
      </c>
      <c r="J8" s="26">
        <f t="shared" si="0"/>
        <v>3230</v>
      </c>
      <c r="K8" s="26">
        <f t="shared" si="0"/>
        <v>0</v>
      </c>
      <c r="L8" s="26">
        <f t="shared" si="0"/>
        <v>1533</v>
      </c>
      <c r="M8" s="26">
        <f t="shared" si="0"/>
        <v>5557</v>
      </c>
    </row>
    <row r="9" spans="1:13" s="11" customFormat="1" x14ac:dyDescent="0.25">
      <c r="A9" s="9"/>
      <c r="B9" s="14" t="s">
        <v>17</v>
      </c>
      <c r="C9" s="10"/>
      <c r="D9" s="10"/>
      <c r="E9" s="10"/>
      <c r="F9" s="10"/>
      <c r="G9" s="10"/>
      <c r="H9" s="10"/>
      <c r="I9" s="26">
        <f t="shared" si="0"/>
        <v>12135</v>
      </c>
      <c r="J9" s="26">
        <f t="shared" si="0"/>
        <v>4550</v>
      </c>
      <c r="K9" s="26">
        <f t="shared" si="0"/>
        <v>7585</v>
      </c>
      <c r="L9" s="26">
        <f t="shared" si="0"/>
        <v>0</v>
      </c>
      <c r="M9" s="26">
        <f t="shared" si="0"/>
        <v>0</v>
      </c>
    </row>
    <row r="10" spans="1:13" s="11" customFormat="1" ht="42" x14ac:dyDescent="0.25">
      <c r="A10" s="20">
        <v>1</v>
      </c>
      <c r="B10" s="21" t="s">
        <v>10</v>
      </c>
      <c r="C10" s="22">
        <v>7</v>
      </c>
      <c r="D10" s="22">
        <v>80000</v>
      </c>
      <c r="E10" s="23">
        <f>+D10*C10*6/1000</f>
        <v>3360</v>
      </c>
      <c r="F10" s="22">
        <f>+E10*2.5</f>
        <v>8400</v>
      </c>
      <c r="G10" s="25">
        <f>+F10*1.8</f>
        <v>15120</v>
      </c>
      <c r="H10" s="21" t="s">
        <v>2</v>
      </c>
      <c r="I10" s="24">
        <f>+J10+K10+L10+M10</f>
        <v>4805</v>
      </c>
      <c r="J10" s="24">
        <f>+J11++J12</f>
        <v>1900</v>
      </c>
      <c r="K10" s="24">
        <f t="shared" ref="K10:M10" si="1">+K11+K12</f>
        <v>1505</v>
      </c>
      <c r="L10" s="24">
        <f t="shared" si="1"/>
        <v>300</v>
      </c>
      <c r="M10" s="24">
        <f t="shared" si="1"/>
        <v>1100</v>
      </c>
    </row>
    <row r="11" spans="1:13" s="11" customFormat="1" x14ac:dyDescent="0.25">
      <c r="A11" s="15" t="s">
        <v>18</v>
      </c>
      <c r="B11" s="14" t="s">
        <v>16</v>
      </c>
      <c r="C11" s="16"/>
      <c r="D11" s="16"/>
      <c r="E11" s="17"/>
      <c r="F11" s="16"/>
      <c r="G11" s="16"/>
      <c r="H11" s="19"/>
      <c r="I11" s="18">
        <f>+J11+K11+L11+M11</f>
        <v>2200</v>
      </c>
      <c r="J11" s="18">
        <v>800</v>
      </c>
      <c r="K11" s="18"/>
      <c r="L11" s="18">
        <v>300</v>
      </c>
      <c r="M11" s="18">
        <v>1100</v>
      </c>
    </row>
    <row r="12" spans="1:13" s="11" customFormat="1" x14ac:dyDescent="0.25">
      <c r="A12" s="15" t="s">
        <v>19</v>
      </c>
      <c r="B12" s="14" t="s">
        <v>17</v>
      </c>
      <c r="C12" s="16"/>
      <c r="D12" s="16"/>
      <c r="E12" s="17"/>
      <c r="F12" s="16"/>
      <c r="G12" s="16"/>
      <c r="H12" s="14"/>
      <c r="I12" s="18">
        <f t="shared" ref="I12" si="2">+J12+K12</f>
        <v>2605</v>
      </c>
      <c r="J12" s="18">
        <v>1100</v>
      </c>
      <c r="K12" s="18">
        <v>1505</v>
      </c>
      <c r="L12" s="18"/>
      <c r="M12" s="18"/>
    </row>
    <row r="13" spans="1:13" s="11" customFormat="1" ht="42" x14ac:dyDescent="0.25">
      <c r="A13" s="20">
        <v>2</v>
      </c>
      <c r="B13" s="21" t="s">
        <v>24</v>
      </c>
      <c r="C13" s="22">
        <v>8</v>
      </c>
      <c r="D13" s="22">
        <v>80000</v>
      </c>
      <c r="E13" s="23">
        <f>+D13*C13*6/1000</f>
        <v>3840</v>
      </c>
      <c r="F13" s="22">
        <f>+E13*2.5</f>
        <v>9600</v>
      </c>
      <c r="G13" s="25">
        <f>+F13*1.8</f>
        <v>17280</v>
      </c>
      <c r="H13" s="21" t="s">
        <v>2</v>
      </c>
      <c r="I13" s="24">
        <f>+J13+K13+L13+M13</f>
        <v>5400</v>
      </c>
      <c r="J13" s="24">
        <f>+J14+J15</f>
        <v>2080</v>
      </c>
      <c r="K13" s="65">
        <f t="shared" ref="K13:L13" si="3">+K14+K15</f>
        <v>1720</v>
      </c>
      <c r="L13" s="65">
        <f t="shared" si="3"/>
        <v>343</v>
      </c>
      <c r="M13" s="65">
        <f>+M14+M15</f>
        <v>1257</v>
      </c>
    </row>
    <row r="14" spans="1:13" s="11" customFormat="1" x14ac:dyDescent="0.25">
      <c r="A14" s="15" t="s">
        <v>22</v>
      </c>
      <c r="B14" s="14" t="s">
        <v>16</v>
      </c>
      <c r="C14" s="16"/>
      <c r="D14" s="16"/>
      <c r="E14" s="17"/>
      <c r="F14" s="17"/>
      <c r="G14" s="16"/>
      <c r="H14" s="19"/>
      <c r="I14" s="18">
        <f>+J14+K14+L14+M14</f>
        <v>2430</v>
      </c>
      <c r="J14" s="18">
        <v>830</v>
      </c>
      <c r="K14" s="18">
        <v>0</v>
      </c>
      <c r="L14" s="18">
        <v>343</v>
      </c>
      <c r="M14" s="18">
        <v>1257</v>
      </c>
    </row>
    <row r="15" spans="1:13" s="11" customFormat="1" x14ac:dyDescent="0.25">
      <c r="A15" s="15" t="s">
        <v>23</v>
      </c>
      <c r="B15" s="14" t="s">
        <v>17</v>
      </c>
      <c r="C15" s="16"/>
      <c r="D15" s="16"/>
      <c r="E15" s="17"/>
      <c r="F15" s="17"/>
      <c r="G15" s="16"/>
      <c r="H15" s="14"/>
      <c r="I15" s="18">
        <f>+J15+K15+L15+M15</f>
        <v>2970</v>
      </c>
      <c r="J15" s="18">
        <v>1250</v>
      </c>
      <c r="K15" s="18">
        <v>1720</v>
      </c>
      <c r="L15" s="18">
        <v>0</v>
      </c>
      <c r="M15" s="18">
        <v>0</v>
      </c>
    </row>
    <row r="16" spans="1:13" s="11" customFormat="1" ht="42" x14ac:dyDescent="0.25">
      <c r="A16" s="20">
        <v>3</v>
      </c>
      <c r="B16" s="21" t="s">
        <v>26</v>
      </c>
      <c r="C16" s="22">
        <v>7</v>
      </c>
      <c r="D16" s="22">
        <v>80000</v>
      </c>
      <c r="E16" s="23">
        <f>+D16*C16*6/1000</f>
        <v>3360</v>
      </c>
      <c r="F16" s="22">
        <f>+E16*2.5</f>
        <v>8400</v>
      </c>
      <c r="G16" s="25">
        <f>+F16*1.8</f>
        <v>15120</v>
      </c>
      <c r="H16" s="21" t="s">
        <v>2</v>
      </c>
      <c r="I16" s="24">
        <f>+I17+I18</f>
        <v>4805</v>
      </c>
      <c r="J16" s="65">
        <f>+J17+J18</f>
        <v>1900</v>
      </c>
      <c r="K16" s="65">
        <f t="shared" ref="K16:M16" si="4">+K17+K18</f>
        <v>1505</v>
      </c>
      <c r="L16" s="65">
        <f t="shared" si="4"/>
        <v>300</v>
      </c>
      <c r="M16" s="65">
        <f t="shared" si="4"/>
        <v>1100</v>
      </c>
    </row>
    <row r="17" spans="1:13" x14ac:dyDescent="0.25">
      <c r="A17" s="15" t="s">
        <v>27</v>
      </c>
      <c r="B17" s="14" t="s">
        <v>16</v>
      </c>
      <c r="C17" s="16"/>
      <c r="D17" s="16"/>
      <c r="E17" s="17"/>
      <c r="F17" s="17"/>
      <c r="G17" s="16"/>
      <c r="H17" s="19"/>
      <c r="I17" s="18">
        <f>+J17+K17+L17+M17</f>
        <v>2200</v>
      </c>
      <c r="J17" s="18">
        <v>800</v>
      </c>
      <c r="K17" s="18"/>
      <c r="L17" s="18">
        <v>300</v>
      </c>
      <c r="M17" s="18">
        <v>1100</v>
      </c>
    </row>
    <row r="18" spans="1:13" x14ac:dyDescent="0.25">
      <c r="A18" s="15" t="s">
        <v>28</v>
      </c>
      <c r="B18" s="14" t="s">
        <v>17</v>
      </c>
      <c r="C18" s="16"/>
      <c r="D18" s="16"/>
      <c r="E18" s="17"/>
      <c r="F18" s="17"/>
      <c r="G18" s="16"/>
      <c r="H18" s="14"/>
      <c r="I18" s="18">
        <f t="shared" ref="I18" si="5">+J18+K18</f>
        <v>2605</v>
      </c>
      <c r="J18" s="18">
        <v>1100</v>
      </c>
      <c r="K18" s="18">
        <v>1505</v>
      </c>
      <c r="L18" s="18"/>
      <c r="M18" s="18"/>
    </row>
    <row r="19" spans="1:13" ht="42" x14ac:dyDescent="0.25">
      <c r="A19" s="20">
        <v>4</v>
      </c>
      <c r="B19" s="21" t="s">
        <v>31</v>
      </c>
      <c r="C19" s="22">
        <v>7</v>
      </c>
      <c r="D19" s="22">
        <v>80000</v>
      </c>
      <c r="E19" s="23">
        <f>+D19*C19*6/1000</f>
        <v>3360</v>
      </c>
      <c r="F19" s="22">
        <f>+E19*2.5</f>
        <v>8400</v>
      </c>
      <c r="G19" s="25">
        <f>+F19*1.8</f>
        <v>15120</v>
      </c>
      <c r="H19" s="21" t="s">
        <v>2</v>
      </c>
      <c r="I19" s="24">
        <f>+I20+I21</f>
        <v>4805</v>
      </c>
      <c r="J19" s="65">
        <f>+J21+J20</f>
        <v>1900</v>
      </c>
      <c r="K19" s="65">
        <f t="shared" ref="K19:M19" si="6">+K21+K20</f>
        <v>1505</v>
      </c>
      <c r="L19" s="65">
        <f t="shared" si="6"/>
        <v>300</v>
      </c>
      <c r="M19" s="65">
        <f t="shared" si="6"/>
        <v>1100</v>
      </c>
    </row>
    <row r="20" spans="1:13" x14ac:dyDescent="0.25">
      <c r="A20" s="15" t="s">
        <v>29</v>
      </c>
      <c r="B20" s="14" t="s">
        <v>16</v>
      </c>
      <c r="C20" s="16"/>
      <c r="D20" s="16"/>
      <c r="E20" s="17"/>
      <c r="F20" s="17"/>
      <c r="G20" s="16"/>
      <c r="H20" s="19"/>
      <c r="I20" s="18">
        <f>+J20+K20+L20+M20</f>
        <v>2200</v>
      </c>
      <c r="J20" s="18">
        <v>800</v>
      </c>
      <c r="K20" s="18"/>
      <c r="L20" s="18">
        <v>300</v>
      </c>
      <c r="M20" s="18">
        <v>1100</v>
      </c>
    </row>
    <row r="21" spans="1:13" x14ac:dyDescent="0.25">
      <c r="A21" s="15" t="s">
        <v>30</v>
      </c>
      <c r="B21" s="14" t="s">
        <v>17</v>
      </c>
      <c r="C21" s="16"/>
      <c r="D21" s="16"/>
      <c r="E21" s="17"/>
      <c r="F21" s="17"/>
      <c r="G21" s="16"/>
      <c r="H21" s="14"/>
      <c r="I21" s="18">
        <f>+J21+K21</f>
        <v>2605</v>
      </c>
      <c r="J21" s="18">
        <v>1100</v>
      </c>
      <c r="K21" s="18">
        <v>1505</v>
      </c>
      <c r="L21" s="18"/>
      <c r="M21" s="18"/>
    </row>
    <row r="22" spans="1:13" ht="42" x14ac:dyDescent="0.25">
      <c r="A22" s="20">
        <v>5</v>
      </c>
      <c r="B22" s="21" t="s">
        <v>33</v>
      </c>
      <c r="C22" s="22">
        <v>4</v>
      </c>
      <c r="D22" s="22">
        <v>80000</v>
      </c>
      <c r="E22" s="23">
        <f>+D22*C22*6/1000</f>
        <v>1920</v>
      </c>
      <c r="F22" s="22">
        <f>+E22*2.5</f>
        <v>4800</v>
      </c>
      <c r="G22" s="25">
        <f>+F22*1.8</f>
        <v>8640</v>
      </c>
      <c r="H22" s="21" t="s">
        <v>37</v>
      </c>
      <c r="I22" s="66">
        <f>+J22+K22+L22+M22</f>
        <v>0</v>
      </c>
      <c r="J22" s="67"/>
      <c r="K22" s="67"/>
      <c r="L22" s="67"/>
      <c r="M22" s="67"/>
    </row>
    <row r="23" spans="1:13" ht="42" x14ac:dyDescent="0.25">
      <c r="A23" s="20">
        <v>6</v>
      </c>
      <c r="B23" s="21" t="s">
        <v>36</v>
      </c>
      <c r="C23" s="22">
        <v>14</v>
      </c>
      <c r="D23" s="22">
        <v>25000</v>
      </c>
      <c r="E23" s="23">
        <f>+D23*C23*6/1000</f>
        <v>2100</v>
      </c>
      <c r="F23" s="22">
        <f>+E23*2.5</f>
        <v>5250</v>
      </c>
      <c r="G23" s="25">
        <f>+F23*1.8</f>
        <v>9450</v>
      </c>
      <c r="H23" s="21" t="s">
        <v>37</v>
      </c>
      <c r="I23" s="8"/>
      <c r="J23" s="67"/>
      <c r="K23" s="67"/>
      <c r="L23" s="67"/>
      <c r="M23" s="67"/>
    </row>
    <row r="24" spans="1:13" ht="42" x14ac:dyDescent="0.25">
      <c r="A24" s="20">
        <v>7</v>
      </c>
      <c r="B24" s="21" t="s">
        <v>38</v>
      </c>
      <c r="C24" s="22">
        <v>6</v>
      </c>
      <c r="D24" s="22">
        <v>80000</v>
      </c>
      <c r="E24" s="23">
        <f>+D24*C24*6/1000</f>
        <v>2880</v>
      </c>
      <c r="F24" s="22">
        <f>+E24*2.5</f>
        <v>7200</v>
      </c>
      <c r="G24" s="25">
        <f>+F24*1.8</f>
        <v>12960</v>
      </c>
      <c r="H24" s="21" t="s">
        <v>37</v>
      </c>
      <c r="I24" s="66">
        <f>+J24+K24+L24+M24</f>
        <v>0</v>
      </c>
      <c r="J24" s="66"/>
      <c r="K24" s="66"/>
      <c r="L24" s="68"/>
      <c r="M24" s="66"/>
    </row>
    <row r="25" spans="1:13" ht="42" x14ac:dyDescent="0.25">
      <c r="A25" s="20">
        <v>8</v>
      </c>
      <c r="B25" s="21" t="s">
        <v>41</v>
      </c>
      <c r="C25" s="22">
        <v>9</v>
      </c>
      <c r="D25" s="22">
        <v>60000</v>
      </c>
      <c r="E25" s="23">
        <f>+D25*C25*6/1000</f>
        <v>3240</v>
      </c>
      <c r="F25" s="22">
        <f>+E25*2.5</f>
        <v>8100</v>
      </c>
      <c r="G25" s="25">
        <f>+F25*1.8</f>
        <v>14580</v>
      </c>
      <c r="H25" s="21" t="s">
        <v>2</v>
      </c>
      <c r="I25" s="24">
        <f>+I26+I27</f>
        <v>2640</v>
      </c>
      <c r="J25" s="24">
        <f t="shared" ref="J25:L25" si="7">+J26+J27</f>
        <v>0</v>
      </c>
      <c r="K25" s="24">
        <f>+K26+K27</f>
        <v>1350</v>
      </c>
      <c r="L25" s="24">
        <f t="shared" si="7"/>
        <v>290</v>
      </c>
      <c r="M25" s="24">
        <f>+M26+M27</f>
        <v>1000</v>
      </c>
    </row>
    <row r="26" spans="1:13" x14ac:dyDescent="0.25">
      <c r="A26" s="15" t="s">
        <v>39</v>
      </c>
      <c r="B26" s="14" t="s">
        <v>16</v>
      </c>
      <c r="C26" s="16"/>
      <c r="D26" s="16"/>
      <c r="E26" s="17"/>
      <c r="F26" s="17"/>
      <c r="G26" s="16"/>
      <c r="H26" s="19"/>
      <c r="I26" s="18">
        <f>+J26+K26+L26+M26</f>
        <v>1290</v>
      </c>
      <c r="J26" s="18"/>
      <c r="K26" s="18"/>
      <c r="L26" s="18">
        <v>290</v>
      </c>
      <c r="M26" s="18">
        <v>1000</v>
      </c>
    </row>
    <row r="27" spans="1:13" x14ac:dyDescent="0.25">
      <c r="A27" s="15" t="s">
        <v>40</v>
      </c>
      <c r="B27" s="14" t="s">
        <v>17</v>
      </c>
      <c r="C27" s="16"/>
      <c r="D27" s="16"/>
      <c r="E27" s="17"/>
      <c r="F27" s="17"/>
      <c r="G27" s="16"/>
      <c r="H27" s="14"/>
      <c r="I27" s="18">
        <f t="shared" ref="I27" si="8">+J27+K27</f>
        <v>1350</v>
      </c>
      <c r="J27" s="18"/>
      <c r="K27" s="18">
        <f>9*150</f>
        <v>1350</v>
      </c>
      <c r="L27" s="18"/>
      <c r="M27" s="18"/>
    </row>
    <row r="28" spans="1:13" s="7" customFormat="1" ht="23.25" x14ac:dyDescent="0.25">
      <c r="A28" s="5"/>
      <c r="B28" s="6" t="s">
        <v>5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</sheetData>
  <mergeCells count="10">
    <mergeCell ref="K3:M3"/>
    <mergeCell ref="B2:M2"/>
    <mergeCell ref="A4:A5"/>
    <mergeCell ref="B4:B5"/>
    <mergeCell ref="C4:C5"/>
    <mergeCell ref="D4:D5"/>
    <mergeCell ref="E4:G4"/>
    <mergeCell ref="H4:H5"/>
    <mergeCell ref="I4:I5"/>
    <mergeCell ref="J4:M4"/>
  </mergeCells>
  <pageMargins left="0.7" right="0.7" top="0.75" bottom="0.75" header="0.3" footer="0.3"/>
  <pageSetup paperSize="9"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H36"/>
  <sheetViews>
    <sheetView tabSelected="1" zoomScale="98" zoomScaleNormal="98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H36" sqref="H36"/>
    </sheetView>
  </sheetViews>
  <sheetFormatPr defaultRowHeight="21" x14ac:dyDescent="0.25"/>
  <cols>
    <col min="1" max="1" width="9.5703125" style="1" bestFit="1" customWidth="1"/>
    <col min="2" max="2" width="42.140625" style="1" customWidth="1"/>
    <col min="3" max="3" width="13.140625" style="1" bestFit="1" customWidth="1"/>
    <col min="4" max="4" width="20.5703125" style="1" customWidth="1"/>
    <col min="5" max="5" width="21.42578125" style="1" customWidth="1"/>
    <col min="6" max="6" width="18.28515625" style="1" customWidth="1"/>
    <col min="7" max="7" width="17.85546875" style="1" customWidth="1"/>
    <col min="8" max="8" width="19.28515625" style="1" bestFit="1" customWidth="1"/>
    <col min="9" max="16384" width="9.140625" style="1"/>
  </cols>
  <sheetData>
    <row r="2" spans="1:8" ht="84" customHeight="1" x14ac:dyDescent="0.25">
      <c r="B2" s="82" t="s">
        <v>73</v>
      </c>
      <c r="C2" s="82"/>
      <c r="D2" s="82"/>
      <c r="E2" s="82"/>
      <c r="F2" s="82"/>
      <c r="G2" s="82"/>
      <c r="H2" s="82"/>
    </row>
    <row r="3" spans="1:8" x14ac:dyDescent="0.25">
      <c r="F3" s="81" t="s">
        <v>55</v>
      </c>
      <c r="G3" s="81"/>
      <c r="H3" s="81"/>
    </row>
    <row r="4" spans="1:8" ht="42" customHeight="1" x14ac:dyDescent="0.25">
      <c r="A4" s="77" t="s">
        <v>0</v>
      </c>
      <c r="B4" s="77" t="s">
        <v>1</v>
      </c>
      <c r="C4" s="78" t="s">
        <v>9</v>
      </c>
      <c r="D4" s="78" t="s">
        <v>59</v>
      </c>
      <c r="E4" s="78" t="s">
        <v>74</v>
      </c>
      <c r="F4" s="78" t="s">
        <v>15</v>
      </c>
      <c r="G4" s="77" t="s">
        <v>1</v>
      </c>
      <c r="H4" s="77"/>
    </row>
    <row r="5" spans="1:8" x14ac:dyDescent="0.25">
      <c r="A5" s="77"/>
      <c r="B5" s="77"/>
      <c r="C5" s="79"/>
      <c r="D5" s="79"/>
      <c r="E5" s="79"/>
      <c r="F5" s="79"/>
      <c r="G5" s="4" t="s">
        <v>7</v>
      </c>
      <c r="H5" s="4" t="s">
        <v>8</v>
      </c>
    </row>
    <row r="6" spans="1:8" s="11" customFormat="1" x14ac:dyDescent="0.25">
      <c r="A6" s="9"/>
      <c r="B6" s="9"/>
      <c r="C6" s="10"/>
      <c r="D6" s="10"/>
      <c r="E6" s="10"/>
      <c r="F6" s="10"/>
      <c r="G6" s="10"/>
      <c r="H6" s="10"/>
    </row>
    <row r="7" spans="1:8" s="11" customFormat="1" ht="42" x14ac:dyDescent="0.25">
      <c r="A7" s="27"/>
      <c r="B7" s="27" t="s">
        <v>56</v>
      </c>
      <c r="C7" s="28">
        <f>+C10+C13+C16+C19+C22+C23</f>
        <v>8</v>
      </c>
      <c r="D7" s="28">
        <f t="shared" ref="D7" si="0">+D10+D13+D16+D19+D22+D23</f>
        <v>18000</v>
      </c>
      <c r="E7" s="29" t="s">
        <v>3</v>
      </c>
      <c r="F7" s="72">
        <f>+G7+H7</f>
        <v>5777.2</v>
      </c>
      <c r="G7" s="28">
        <f>+G10+G13+G16+G19+G22+G25+G28+G31</f>
        <v>600</v>
      </c>
      <c r="H7" s="28">
        <f>+H10+H13+H16+H19+H22+H25+H28+H31+H34</f>
        <v>5177.2</v>
      </c>
    </row>
    <row r="8" spans="1:8" s="11" customFormat="1" x14ac:dyDescent="0.25">
      <c r="A8" s="9"/>
      <c r="B8" s="14" t="s">
        <v>16</v>
      </c>
      <c r="C8" s="10"/>
      <c r="D8" s="10"/>
      <c r="E8" s="10"/>
      <c r="F8" s="73">
        <f>+F11+F14+F17+F20+F23+F26+F29+F32</f>
        <v>600</v>
      </c>
      <c r="G8" s="26">
        <f>+G11+G14+G17+G20+G23+G26+G29+G32+G35</f>
        <v>600</v>
      </c>
      <c r="H8" s="26">
        <f>+H11+H14+H17+H20+H23+H26+H29+H32+H35</f>
        <v>0</v>
      </c>
    </row>
    <row r="9" spans="1:8" s="11" customFormat="1" x14ac:dyDescent="0.25">
      <c r="A9" s="9"/>
      <c r="B9" s="14" t="s">
        <v>17</v>
      </c>
      <c r="C9" s="10"/>
      <c r="D9" s="10"/>
      <c r="E9" s="10"/>
      <c r="F9" s="73">
        <f>+F12+F15+F18+F21+F24+F27+F30+F33</f>
        <v>4795</v>
      </c>
      <c r="G9" s="26">
        <f>+G12+G15+G18+G21+G24+G27+G30+G33+G36</f>
        <v>0</v>
      </c>
      <c r="H9" s="26">
        <f>+H12+H15+H18+H21+H24+H27+H30+H33+H36</f>
        <v>5177.2</v>
      </c>
    </row>
    <row r="10" spans="1:8" s="11" customFormat="1" ht="42" x14ac:dyDescent="0.25">
      <c r="A10" s="20">
        <v>1</v>
      </c>
      <c r="B10" s="21" t="s">
        <v>57</v>
      </c>
      <c r="C10" s="22">
        <v>1</v>
      </c>
      <c r="D10" s="22">
        <v>6000</v>
      </c>
      <c r="E10" s="59" t="s">
        <v>3</v>
      </c>
      <c r="F10" s="74">
        <f>+G10+H10</f>
        <v>700</v>
      </c>
      <c r="G10" s="24">
        <f>+G11+G12</f>
        <v>300</v>
      </c>
      <c r="H10" s="24">
        <f>+H11+H12</f>
        <v>400</v>
      </c>
    </row>
    <row r="11" spans="1:8" s="11" customFormat="1" x14ac:dyDescent="0.25">
      <c r="A11" s="15" t="s">
        <v>18</v>
      </c>
      <c r="B11" s="14" t="s">
        <v>16</v>
      </c>
      <c r="C11" s="16"/>
      <c r="D11" s="16"/>
      <c r="E11" s="19"/>
      <c r="F11" s="75">
        <f>+G11+H11</f>
        <v>300</v>
      </c>
      <c r="G11" s="18">
        <v>300</v>
      </c>
      <c r="H11" s="18"/>
    </row>
    <row r="12" spans="1:8" s="11" customFormat="1" x14ac:dyDescent="0.25">
      <c r="A12" s="15" t="s">
        <v>19</v>
      </c>
      <c r="B12" s="14" t="s">
        <v>17</v>
      </c>
      <c r="C12" s="16"/>
      <c r="D12" s="16"/>
      <c r="E12" s="14"/>
      <c r="F12" s="75">
        <f>+G12+H12</f>
        <v>400</v>
      </c>
      <c r="G12" s="18"/>
      <c r="H12" s="18">
        <v>400</v>
      </c>
    </row>
    <row r="13" spans="1:8" s="11" customFormat="1" ht="42" x14ac:dyDescent="0.25">
      <c r="A13" s="20">
        <v>2</v>
      </c>
      <c r="B13" s="21" t="s">
        <v>58</v>
      </c>
      <c r="C13" s="22">
        <v>1</v>
      </c>
      <c r="D13" s="22">
        <v>6000</v>
      </c>
      <c r="E13" s="21" t="s">
        <v>44</v>
      </c>
      <c r="F13" s="74">
        <f>+F14+F15</f>
        <v>700</v>
      </c>
      <c r="G13" s="24">
        <f>+G14+G15</f>
        <v>0</v>
      </c>
      <c r="H13" s="24">
        <f>+H14+H15</f>
        <v>700</v>
      </c>
    </row>
    <row r="14" spans="1:8" s="11" customFormat="1" x14ac:dyDescent="0.25">
      <c r="A14" s="15" t="s">
        <v>22</v>
      </c>
      <c r="B14" s="14" t="s">
        <v>16</v>
      </c>
      <c r="C14" s="16"/>
      <c r="D14" s="16"/>
      <c r="E14" s="19"/>
      <c r="F14" s="75">
        <f>+G14+H14</f>
        <v>0</v>
      </c>
      <c r="G14" s="18">
        <v>0</v>
      </c>
      <c r="H14" s="18">
        <v>0</v>
      </c>
    </row>
    <row r="15" spans="1:8" s="11" customFormat="1" x14ac:dyDescent="0.25">
      <c r="A15" s="15" t="s">
        <v>23</v>
      </c>
      <c r="B15" s="14" t="s">
        <v>17</v>
      </c>
      <c r="C15" s="16"/>
      <c r="D15" s="16"/>
      <c r="E15" s="14"/>
      <c r="F15" s="75">
        <f>+G15+H15</f>
        <v>700</v>
      </c>
      <c r="G15" s="18"/>
      <c r="H15" s="18">
        <v>700</v>
      </c>
    </row>
    <row r="16" spans="1:8" s="11" customFormat="1" ht="42" x14ac:dyDescent="0.25">
      <c r="A16" s="20">
        <v>3</v>
      </c>
      <c r="B16" s="21" t="s">
        <v>60</v>
      </c>
      <c r="C16" s="22">
        <v>1</v>
      </c>
      <c r="D16" s="22">
        <v>6000</v>
      </c>
      <c r="E16" s="59" t="s">
        <v>3</v>
      </c>
      <c r="F16" s="74">
        <f>+G16+H16</f>
        <v>400</v>
      </c>
      <c r="G16" s="24">
        <f>+G17+G18</f>
        <v>0</v>
      </c>
      <c r="H16" s="24">
        <f>+H17+H18</f>
        <v>400</v>
      </c>
    </row>
    <row r="17" spans="1:8" x14ac:dyDescent="0.25">
      <c r="A17" s="15" t="s">
        <v>27</v>
      </c>
      <c r="B17" s="14" t="s">
        <v>16</v>
      </c>
      <c r="C17" s="16"/>
      <c r="D17" s="16"/>
      <c r="E17" s="19"/>
      <c r="F17" s="76">
        <f t="shared" ref="F17:F18" si="1">+G17+H17</f>
        <v>0</v>
      </c>
      <c r="G17" s="18"/>
      <c r="H17" s="18"/>
    </row>
    <row r="18" spans="1:8" x14ac:dyDescent="0.25">
      <c r="A18" s="15" t="s">
        <v>28</v>
      </c>
      <c r="B18" s="14" t="s">
        <v>17</v>
      </c>
      <c r="C18" s="16"/>
      <c r="D18" s="16"/>
      <c r="E18" s="14"/>
      <c r="F18" s="76">
        <f t="shared" si="1"/>
        <v>400</v>
      </c>
      <c r="G18" s="18">
        <v>0</v>
      </c>
      <c r="H18" s="18">
        <v>400</v>
      </c>
    </row>
    <row r="19" spans="1:8" ht="42" x14ac:dyDescent="0.25">
      <c r="A19" s="20">
        <v>4</v>
      </c>
      <c r="B19" s="21" t="s">
        <v>61</v>
      </c>
      <c r="C19" s="22">
        <v>1</v>
      </c>
      <c r="D19" s="22"/>
      <c r="E19" s="59" t="s">
        <v>3</v>
      </c>
      <c r="F19" s="74">
        <f>+G19+H19</f>
        <v>2300</v>
      </c>
      <c r="G19" s="24">
        <f>+G20+G21</f>
        <v>300</v>
      </c>
      <c r="H19" s="24">
        <f>+H20+H21</f>
        <v>2000</v>
      </c>
    </row>
    <row r="20" spans="1:8" x14ac:dyDescent="0.25">
      <c r="A20" s="15" t="s">
        <v>29</v>
      </c>
      <c r="B20" s="14" t="s">
        <v>16</v>
      </c>
      <c r="C20" s="16"/>
      <c r="D20" s="16"/>
      <c r="E20" s="19"/>
      <c r="F20" s="76">
        <f t="shared" ref="F20:F21" si="2">+G20+H20</f>
        <v>300</v>
      </c>
      <c r="G20" s="18">
        <v>300</v>
      </c>
      <c r="H20" s="18"/>
    </row>
    <row r="21" spans="1:8" x14ac:dyDescent="0.25">
      <c r="A21" s="15" t="s">
        <v>30</v>
      </c>
      <c r="B21" s="14" t="s">
        <v>17</v>
      </c>
      <c r="C21" s="16"/>
      <c r="D21" s="16"/>
      <c r="E21" s="14"/>
      <c r="F21" s="76">
        <f t="shared" si="2"/>
        <v>2000</v>
      </c>
      <c r="G21" s="18">
        <v>0</v>
      </c>
      <c r="H21" s="18">
        <v>2000</v>
      </c>
    </row>
    <row r="22" spans="1:8" ht="42" x14ac:dyDescent="0.25">
      <c r="A22" s="20">
        <v>5</v>
      </c>
      <c r="B22" s="21" t="s">
        <v>4</v>
      </c>
      <c r="C22" s="22">
        <v>4</v>
      </c>
      <c r="D22" s="22"/>
      <c r="E22" s="59" t="s">
        <v>3</v>
      </c>
      <c r="F22" s="74">
        <f>+G22+H22</f>
        <v>400</v>
      </c>
      <c r="G22" s="24">
        <f>+G23+G24</f>
        <v>0</v>
      </c>
      <c r="H22" s="24">
        <f>+H23+H24</f>
        <v>400</v>
      </c>
    </row>
    <row r="23" spans="1:8" x14ac:dyDescent="0.25">
      <c r="A23" s="15" t="s">
        <v>34</v>
      </c>
      <c r="B23" s="14" t="s">
        <v>16</v>
      </c>
      <c r="C23" s="16"/>
      <c r="D23" s="16"/>
      <c r="E23" s="19"/>
      <c r="F23" s="76">
        <f t="shared" ref="F23:F24" si="3">+G23+H23</f>
        <v>0</v>
      </c>
      <c r="G23" s="18">
        <v>0</v>
      </c>
      <c r="H23" s="18"/>
    </row>
    <row r="24" spans="1:8" x14ac:dyDescent="0.25">
      <c r="A24" s="15" t="s">
        <v>35</v>
      </c>
      <c r="B24" s="14" t="s">
        <v>17</v>
      </c>
      <c r="C24" s="16"/>
      <c r="D24" s="16"/>
      <c r="E24" s="14"/>
      <c r="F24" s="76">
        <f t="shared" si="3"/>
        <v>400</v>
      </c>
      <c r="G24" s="18">
        <v>0</v>
      </c>
      <c r="H24" s="18">
        <v>400</v>
      </c>
    </row>
    <row r="25" spans="1:8" ht="63" x14ac:dyDescent="0.25">
      <c r="A25" s="20">
        <v>6</v>
      </c>
      <c r="B25" s="21" t="s">
        <v>77</v>
      </c>
      <c r="C25" s="22">
        <v>10</v>
      </c>
      <c r="D25" s="22"/>
      <c r="E25" s="59" t="s">
        <v>3</v>
      </c>
      <c r="F25" s="74">
        <f>+G25+H25</f>
        <v>345</v>
      </c>
      <c r="G25" s="24">
        <f>+G26+G27</f>
        <v>0</v>
      </c>
      <c r="H25" s="24">
        <f>+H26+H27</f>
        <v>345</v>
      </c>
    </row>
    <row r="26" spans="1:8" x14ac:dyDescent="0.25">
      <c r="A26" s="15" t="s">
        <v>29</v>
      </c>
      <c r="B26" s="14" t="s">
        <v>16</v>
      </c>
      <c r="C26" s="16"/>
      <c r="D26" s="16"/>
      <c r="E26" s="19"/>
      <c r="F26" s="76">
        <f t="shared" ref="F26" si="4">+G26+H26</f>
        <v>0</v>
      </c>
      <c r="G26" s="18"/>
      <c r="H26" s="18"/>
    </row>
    <row r="27" spans="1:8" x14ac:dyDescent="0.25">
      <c r="A27" s="15" t="s">
        <v>30</v>
      </c>
      <c r="B27" s="14" t="s">
        <v>17</v>
      </c>
      <c r="C27" s="16"/>
      <c r="D27" s="16"/>
      <c r="E27" s="14"/>
      <c r="F27" s="76">
        <v>345</v>
      </c>
      <c r="G27" s="18"/>
      <c r="H27" s="18">
        <v>345</v>
      </c>
    </row>
    <row r="28" spans="1:8" s="7" customFormat="1" ht="23.25" x14ac:dyDescent="0.25">
      <c r="A28" s="20">
        <v>7</v>
      </c>
      <c r="B28" s="21" t="s">
        <v>66</v>
      </c>
      <c r="C28" s="22">
        <v>1</v>
      </c>
      <c r="D28" s="22" t="s">
        <v>67</v>
      </c>
      <c r="E28" s="59" t="s">
        <v>3</v>
      </c>
      <c r="F28" s="74">
        <f>+G28+H28</f>
        <v>350</v>
      </c>
      <c r="G28" s="24">
        <f>+G29+G30</f>
        <v>0</v>
      </c>
      <c r="H28" s="24">
        <f>+H29+H30</f>
        <v>350</v>
      </c>
    </row>
    <row r="29" spans="1:8" x14ac:dyDescent="0.25">
      <c r="A29" s="15" t="s">
        <v>62</v>
      </c>
      <c r="B29" s="14" t="s">
        <v>16</v>
      </c>
      <c r="C29" s="16"/>
      <c r="D29" s="16"/>
      <c r="E29" s="19"/>
      <c r="F29" s="76">
        <f t="shared" ref="F29:F30" si="5">+G29+H29</f>
        <v>0</v>
      </c>
      <c r="G29" s="18"/>
      <c r="H29" s="18"/>
    </row>
    <row r="30" spans="1:8" x14ac:dyDescent="0.25">
      <c r="A30" s="15" t="s">
        <v>63</v>
      </c>
      <c r="B30" s="14" t="s">
        <v>17</v>
      </c>
      <c r="C30" s="16"/>
      <c r="D30" s="16"/>
      <c r="E30" s="14"/>
      <c r="F30" s="76">
        <f t="shared" si="5"/>
        <v>350</v>
      </c>
      <c r="G30" s="18">
        <v>0</v>
      </c>
      <c r="H30" s="18">
        <v>350</v>
      </c>
    </row>
    <row r="31" spans="1:8" ht="42" x14ac:dyDescent="0.25">
      <c r="A31" s="20" t="s">
        <v>78</v>
      </c>
      <c r="B31" s="21" t="s">
        <v>69</v>
      </c>
      <c r="C31" s="22"/>
      <c r="D31" s="22"/>
      <c r="E31" s="59" t="s">
        <v>3</v>
      </c>
      <c r="F31" s="74">
        <f>+G31+H31</f>
        <v>200</v>
      </c>
      <c r="G31" s="24">
        <f>+G32+G33</f>
        <v>0</v>
      </c>
      <c r="H31" s="24">
        <f>+H32+H33</f>
        <v>200</v>
      </c>
    </row>
    <row r="32" spans="1:8" x14ac:dyDescent="0.25">
      <c r="A32" s="15" t="s">
        <v>39</v>
      </c>
      <c r="B32" s="14" t="s">
        <v>16</v>
      </c>
      <c r="C32" s="16"/>
      <c r="D32" s="16"/>
      <c r="E32" s="19"/>
      <c r="F32" s="76">
        <f t="shared" ref="F32" si="6">+G32+H32</f>
        <v>0</v>
      </c>
      <c r="G32" s="18"/>
      <c r="H32" s="18"/>
    </row>
    <row r="33" spans="1:8" x14ac:dyDescent="0.25">
      <c r="A33" s="15" t="s">
        <v>65</v>
      </c>
      <c r="B33" s="14" t="s">
        <v>17</v>
      </c>
      <c r="C33" s="16"/>
      <c r="D33" s="16"/>
      <c r="E33" s="14"/>
      <c r="F33" s="76">
        <v>200</v>
      </c>
      <c r="G33" s="18">
        <v>0</v>
      </c>
      <c r="H33" s="18">
        <v>200</v>
      </c>
    </row>
    <row r="34" spans="1:8" ht="40.5" customHeight="1" x14ac:dyDescent="0.25">
      <c r="A34" s="20" t="s">
        <v>79</v>
      </c>
      <c r="B34" s="21" t="s">
        <v>81</v>
      </c>
      <c r="C34" s="22"/>
      <c r="D34" s="22"/>
      <c r="E34" s="59" t="s">
        <v>3</v>
      </c>
      <c r="F34" s="74">
        <f>+G34+H34</f>
        <v>382.2</v>
      </c>
      <c r="G34" s="24">
        <f>+G35+G36</f>
        <v>0</v>
      </c>
      <c r="H34" s="24">
        <f>+H35+H36</f>
        <v>382.2</v>
      </c>
    </row>
    <row r="35" spans="1:8" x14ac:dyDescent="0.25">
      <c r="A35" s="15" t="s">
        <v>80</v>
      </c>
      <c r="B35" s="14" t="s">
        <v>16</v>
      </c>
      <c r="C35" s="16"/>
      <c r="D35" s="16"/>
      <c r="E35" s="19"/>
      <c r="F35" s="76">
        <f t="shared" ref="F35" si="7">+G35+H35</f>
        <v>0</v>
      </c>
      <c r="G35" s="18"/>
      <c r="H35" s="18"/>
    </row>
    <row r="36" spans="1:8" x14ac:dyDescent="0.25">
      <c r="A36" s="15" t="s">
        <v>68</v>
      </c>
      <c r="B36" s="14" t="s">
        <v>17</v>
      </c>
      <c r="C36" s="16"/>
      <c r="D36" s="16"/>
      <c r="E36" s="14"/>
      <c r="F36" s="76">
        <v>0</v>
      </c>
      <c r="G36" s="18">
        <v>0</v>
      </c>
      <c r="H36" s="18">
        <v>382.2</v>
      </c>
    </row>
  </sheetData>
  <mergeCells count="9">
    <mergeCell ref="F3:H3"/>
    <mergeCell ref="B2:H2"/>
    <mergeCell ref="A4:A5"/>
    <mergeCell ref="B4:B5"/>
    <mergeCell ref="C4:C5"/>
    <mergeCell ref="D4:D5"/>
    <mergeCell ref="E4:E5"/>
    <mergeCell ref="F4:F5"/>
    <mergeCell ref="G4:H4"/>
  </mergeCells>
  <pageMargins left="0.7" right="0.7" top="0.75" bottom="0.75" header="0.3" footer="0.3"/>
  <pageSetup paperSize="9" scale="5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25"/>
  <sheetViews>
    <sheetView zoomScale="85" zoomScaleNormal="85" workbookViewId="0">
      <pane xSplit="7" ySplit="5" topLeftCell="H6" activePane="bottomRight" state="frozen"/>
      <selection pane="topRight" activeCell="H1" sqref="H1"/>
      <selection pane="bottomLeft" activeCell="A6" sqref="A6"/>
      <selection pane="bottomRight" activeCell="K11" sqref="K11"/>
    </sheetView>
  </sheetViews>
  <sheetFormatPr defaultRowHeight="21" x14ac:dyDescent="0.25"/>
  <cols>
    <col min="1" max="1" width="4.7109375" style="1" bestFit="1" customWidth="1"/>
    <col min="2" max="2" width="37.140625" style="1" customWidth="1"/>
    <col min="3" max="3" width="11.28515625" style="1" customWidth="1"/>
    <col min="4" max="4" width="16.42578125" style="1" bestFit="1" customWidth="1"/>
    <col min="5" max="5" width="18.5703125" style="1" bestFit="1" customWidth="1"/>
    <col min="6" max="6" width="18" style="1" bestFit="1" customWidth="1"/>
    <col min="7" max="7" width="15" style="1" bestFit="1" customWidth="1"/>
    <col min="8" max="8" width="21.42578125" style="1" customWidth="1"/>
    <col min="9" max="9" width="19.140625" style="32" bestFit="1" customWidth="1"/>
    <col min="10" max="10" width="16.5703125" style="32" customWidth="1"/>
    <col min="11" max="13" width="15.140625" style="32" bestFit="1" customWidth="1"/>
  </cols>
  <sheetData>
    <row r="1" spans="1:13" x14ac:dyDescent="0.25">
      <c r="I1" s="1"/>
      <c r="J1"/>
      <c r="K1"/>
      <c r="L1"/>
      <c r="M1"/>
    </row>
    <row r="2" spans="1:13" ht="55.5" customHeight="1" x14ac:dyDescent="0.25">
      <c r="B2" s="82" t="s">
        <v>72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</row>
    <row r="3" spans="1:13" x14ac:dyDescent="0.25">
      <c r="I3" s="1"/>
      <c r="J3"/>
      <c r="K3" s="33" t="s">
        <v>55</v>
      </c>
      <c r="L3"/>
      <c r="M3"/>
    </row>
    <row r="4" spans="1:13" s="35" customFormat="1" ht="31.5" customHeight="1" x14ac:dyDescent="0.3">
      <c r="A4" s="88" t="s">
        <v>0</v>
      </c>
      <c r="B4" s="88" t="s">
        <v>1</v>
      </c>
      <c r="C4" s="86" t="s">
        <v>9</v>
      </c>
      <c r="D4" s="86" t="s">
        <v>45</v>
      </c>
      <c r="E4" s="89" t="s">
        <v>13</v>
      </c>
      <c r="F4" s="90"/>
      <c r="G4" s="91"/>
      <c r="H4" s="86" t="s">
        <v>54</v>
      </c>
      <c r="I4" s="86" t="s">
        <v>15</v>
      </c>
      <c r="J4" s="88" t="s">
        <v>1</v>
      </c>
      <c r="K4" s="88"/>
      <c r="L4" s="88"/>
      <c r="M4" s="88"/>
    </row>
    <row r="5" spans="1:13" s="35" customFormat="1" ht="57" customHeight="1" x14ac:dyDescent="0.3">
      <c r="A5" s="86"/>
      <c r="B5" s="86"/>
      <c r="C5" s="87"/>
      <c r="D5" s="87"/>
      <c r="E5" s="36" t="s">
        <v>52</v>
      </c>
      <c r="F5" s="36" t="s">
        <v>53</v>
      </c>
      <c r="G5" s="36" t="s">
        <v>25</v>
      </c>
      <c r="H5" s="87"/>
      <c r="I5" s="87"/>
      <c r="J5" s="37" t="s">
        <v>7</v>
      </c>
      <c r="K5" s="37" t="s">
        <v>8</v>
      </c>
      <c r="L5" s="37" t="s">
        <v>43</v>
      </c>
      <c r="M5" s="37" t="s">
        <v>20</v>
      </c>
    </row>
    <row r="6" spans="1:13" x14ac:dyDescent="0.25">
      <c r="A6" s="9"/>
      <c r="B6" s="9"/>
      <c r="C6" s="9"/>
      <c r="D6" s="9"/>
      <c r="E6" s="9"/>
      <c r="F6" s="9"/>
      <c r="G6" s="9"/>
      <c r="H6" s="9"/>
      <c r="I6" s="9"/>
      <c r="J6" s="30"/>
      <c r="K6" s="30"/>
      <c r="L6" s="30"/>
      <c r="M6" s="30"/>
    </row>
    <row r="7" spans="1:13" s="35" customFormat="1" ht="37.5" x14ac:dyDescent="0.3">
      <c r="A7" s="38"/>
      <c r="B7" s="38" t="s">
        <v>42</v>
      </c>
      <c r="C7" s="39">
        <f>+C10+C13+C16+C19+C22</f>
        <v>24</v>
      </c>
      <c r="D7" s="39">
        <f>+D10+D13+D16+D19+D22</f>
        <v>490000</v>
      </c>
      <c r="E7" s="39">
        <f>+E10+E13+E16+E19+E22</f>
        <v>1880</v>
      </c>
      <c r="F7" s="39">
        <f>+F10+F13+F16+F19</f>
        <v>417990</v>
      </c>
      <c r="G7" s="39">
        <f>+G10+G13+G16+G19+G22</f>
        <v>42400</v>
      </c>
      <c r="H7" s="40" t="s">
        <v>3</v>
      </c>
      <c r="I7" s="41">
        <f>+I10+I13+I16+I19+I22</f>
        <v>19609</v>
      </c>
      <c r="J7" s="41">
        <f>+J10+J13+J16+J19+J22</f>
        <v>4000</v>
      </c>
      <c r="K7" s="41">
        <f>+K10+K13+K16+K19+K22</f>
        <v>7489</v>
      </c>
      <c r="L7" s="41">
        <f t="shared" ref="L7:M7" si="0">+L10+L13+L16+L19+L22</f>
        <v>7630</v>
      </c>
      <c r="M7" s="41">
        <f t="shared" si="0"/>
        <v>490</v>
      </c>
    </row>
    <row r="8" spans="1:13" s="53" customFormat="1" ht="15.75" x14ac:dyDescent="0.25">
      <c r="A8" s="48"/>
      <c r="B8" s="49" t="s">
        <v>16</v>
      </c>
      <c r="C8" s="48"/>
      <c r="D8" s="48"/>
      <c r="E8" s="50"/>
      <c r="F8" s="48"/>
      <c r="G8" s="48"/>
      <c r="H8" s="48"/>
      <c r="I8" s="51">
        <f t="shared" ref="I8:I24" si="1">+J8+K8+L8+M8</f>
        <v>4290</v>
      </c>
      <c r="J8" s="52">
        <f>+J11+J14+J17+J20+J23</f>
        <v>1400</v>
      </c>
      <c r="K8" s="52">
        <f t="shared" ref="K8:M9" si="2">+K11+K14+K17+K20+K23</f>
        <v>2400</v>
      </c>
      <c r="L8" s="52">
        <f t="shared" si="2"/>
        <v>0</v>
      </c>
      <c r="M8" s="52">
        <f t="shared" si="2"/>
        <v>490</v>
      </c>
    </row>
    <row r="9" spans="1:13" s="53" customFormat="1" ht="15.75" x14ac:dyDescent="0.25">
      <c r="A9" s="48"/>
      <c r="B9" s="49" t="s">
        <v>17</v>
      </c>
      <c r="C9" s="48"/>
      <c r="D9" s="48"/>
      <c r="E9" s="48"/>
      <c r="F9" s="48"/>
      <c r="G9" s="48"/>
      <c r="H9" s="48"/>
      <c r="I9" s="51">
        <f t="shared" si="1"/>
        <v>15319</v>
      </c>
      <c r="J9" s="52">
        <f>+J12+J15+J18+J21+J24</f>
        <v>2600</v>
      </c>
      <c r="K9" s="52">
        <f t="shared" si="2"/>
        <v>5089</v>
      </c>
      <c r="L9" s="52">
        <f t="shared" si="2"/>
        <v>7630</v>
      </c>
      <c r="M9" s="52">
        <f t="shared" si="2"/>
        <v>0</v>
      </c>
    </row>
    <row r="10" spans="1:13" s="35" customFormat="1" ht="56.25" x14ac:dyDescent="0.3">
      <c r="A10" s="42">
        <v>1</v>
      </c>
      <c r="B10" s="43" t="s">
        <v>47</v>
      </c>
      <c r="C10" s="42">
        <v>3</v>
      </c>
      <c r="D10" s="42">
        <v>150000</v>
      </c>
      <c r="E10" s="44">
        <f>450000/1000</f>
        <v>450</v>
      </c>
      <c r="F10" s="45">
        <f>139330000/1000</f>
        <v>139330</v>
      </c>
      <c r="G10" s="45">
        <v>11600</v>
      </c>
      <c r="H10" s="43" t="s">
        <v>46</v>
      </c>
      <c r="I10" s="46">
        <f t="shared" si="1"/>
        <v>4827.5</v>
      </c>
      <c r="J10" s="47">
        <f>+J11+J12</f>
        <v>800</v>
      </c>
      <c r="K10" s="47">
        <f>+K11+K12</f>
        <v>1777.5</v>
      </c>
      <c r="L10" s="47">
        <f>+L11+L12</f>
        <v>2250</v>
      </c>
      <c r="M10" s="47">
        <f>+M11+M12</f>
        <v>0</v>
      </c>
    </row>
    <row r="11" spans="1:13" s="53" customFormat="1" ht="15.75" x14ac:dyDescent="0.25">
      <c r="A11" s="54" t="s">
        <v>18</v>
      </c>
      <c r="B11" s="49" t="s">
        <v>16</v>
      </c>
      <c r="C11" s="55"/>
      <c r="D11" s="55"/>
      <c r="E11" s="56"/>
      <c r="F11" s="55"/>
      <c r="G11" s="55"/>
      <c r="H11" s="57"/>
      <c r="I11" s="51">
        <f t="shared" si="1"/>
        <v>300</v>
      </c>
      <c r="J11" s="58">
        <v>300</v>
      </c>
      <c r="K11" s="58"/>
      <c r="L11" s="58"/>
      <c r="M11" s="58"/>
    </row>
    <row r="12" spans="1:13" s="53" customFormat="1" ht="15.75" x14ac:dyDescent="0.25">
      <c r="A12" s="54" t="s">
        <v>19</v>
      </c>
      <c r="B12" s="49" t="s">
        <v>17</v>
      </c>
      <c r="C12" s="55"/>
      <c r="D12" s="55"/>
      <c r="E12" s="56"/>
      <c r="F12" s="55"/>
      <c r="G12" s="55"/>
      <c r="H12" s="49"/>
      <c r="I12" s="51">
        <f t="shared" si="1"/>
        <v>4527.5</v>
      </c>
      <c r="J12" s="58">
        <v>500</v>
      </c>
      <c r="K12" s="58">
        <v>1777.5</v>
      </c>
      <c r="L12" s="58">
        <v>2250</v>
      </c>
      <c r="M12" s="58"/>
    </row>
    <row r="13" spans="1:13" s="35" customFormat="1" ht="56.25" x14ac:dyDescent="0.3">
      <c r="A13" s="42">
        <v>2</v>
      </c>
      <c r="B13" s="43" t="s">
        <v>48</v>
      </c>
      <c r="C13" s="42">
        <v>3</v>
      </c>
      <c r="D13" s="42">
        <v>150000</v>
      </c>
      <c r="E13" s="44">
        <f>450000/1000</f>
        <v>450</v>
      </c>
      <c r="F13" s="42">
        <f>139330000/1000</f>
        <v>139330</v>
      </c>
      <c r="G13" s="45">
        <v>11600</v>
      </c>
      <c r="H13" s="43" t="s">
        <v>46</v>
      </c>
      <c r="I13" s="46">
        <f t="shared" si="1"/>
        <v>4827.5</v>
      </c>
      <c r="J13" s="47">
        <f>+J14+J15</f>
        <v>800</v>
      </c>
      <c r="K13" s="47">
        <f>+K14+K15</f>
        <v>1777.5</v>
      </c>
      <c r="L13" s="47">
        <f>+L14+L15</f>
        <v>2250</v>
      </c>
      <c r="M13" s="47">
        <f>+M14+M15</f>
        <v>0</v>
      </c>
    </row>
    <row r="14" spans="1:13" s="53" customFormat="1" ht="15.75" x14ac:dyDescent="0.25">
      <c r="A14" s="54" t="s">
        <v>22</v>
      </c>
      <c r="B14" s="49" t="s">
        <v>16</v>
      </c>
      <c r="C14" s="55"/>
      <c r="D14" s="55"/>
      <c r="E14" s="56"/>
      <c r="F14" s="55"/>
      <c r="G14" s="55"/>
      <c r="H14" s="57"/>
      <c r="I14" s="51">
        <f t="shared" si="1"/>
        <v>300</v>
      </c>
      <c r="J14" s="58">
        <v>300</v>
      </c>
      <c r="K14" s="58"/>
      <c r="L14" s="58"/>
      <c r="M14" s="52"/>
    </row>
    <row r="15" spans="1:13" s="53" customFormat="1" ht="15.75" x14ac:dyDescent="0.25">
      <c r="A15" s="54" t="s">
        <v>23</v>
      </c>
      <c r="B15" s="49" t="s">
        <v>17</v>
      </c>
      <c r="C15" s="55"/>
      <c r="D15" s="55"/>
      <c r="E15" s="56"/>
      <c r="F15" s="55"/>
      <c r="G15" s="55"/>
      <c r="H15" s="49"/>
      <c r="I15" s="51">
        <f t="shared" si="1"/>
        <v>4527.5</v>
      </c>
      <c r="J15" s="58">
        <v>500</v>
      </c>
      <c r="K15" s="58">
        <v>1777.5</v>
      </c>
      <c r="L15" s="58">
        <v>2250</v>
      </c>
      <c r="M15" s="52"/>
    </row>
    <row r="16" spans="1:13" s="35" customFormat="1" ht="56.25" x14ac:dyDescent="0.3">
      <c r="A16" s="42">
        <v>3</v>
      </c>
      <c r="B16" s="43" t="s">
        <v>49</v>
      </c>
      <c r="C16" s="42">
        <v>5</v>
      </c>
      <c r="D16" s="42">
        <v>90000</v>
      </c>
      <c r="E16" s="44">
        <f>450000/1000</f>
        <v>450</v>
      </c>
      <c r="F16" s="42">
        <f>139330000/1000</f>
        <v>139330</v>
      </c>
      <c r="G16" s="45">
        <v>11600</v>
      </c>
      <c r="H16" s="43" t="s">
        <v>46</v>
      </c>
      <c r="I16" s="46">
        <f t="shared" si="1"/>
        <v>5250</v>
      </c>
      <c r="J16" s="47">
        <f>+J17+J18</f>
        <v>1200</v>
      </c>
      <c r="K16" s="47">
        <f>+K17+K18</f>
        <v>1800</v>
      </c>
      <c r="L16" s="47">
        <f>+L17+L18</f>
        <v>2250</v>
      </c>
      <c r="M16" s="47">
        <f>+M17+M18</f>
        <v>0</v>
      </c>
    </row>
    <row r="17" spans="1:13" s="53" customFormat="1" ht="15.75" x14ac:dyDescent="0.25">
      <c r="A17" s="54" t="s">
        <v>27</v>
      </c>
      <c r="B17" s="49" t="s">
        <v>16</v>
      </c>
      <c r="C17" s="55"/>
      <c r="D17" s="55"/>
      <c r="E17" s="56"/>
      <c r="F17" s="56"/>
      <c r="G17" s="55"/>
      <c r="H17" s="57"/>
      <c r="I17" s="51">
        <f t="shared" si="1"/>
        <v>2200</v>
      </c>
      <c r="J17" s="58">
        <v>400</v>
      </c>
      <c r="K17" s="58">
        <v>1800</v>
      </c>
      <c r="L17" s="58"/>
      <c r="M17" s="52"/>
    </row>
    <row r="18" spans="1:13" s="53" customFormat="1" ht="15.75" x14ac:dyDescent="0.25">
      <c r="A18" s="54" t="s">
        <v>28</v>
      </c>
      <c r="B18" s="49" t="s">
        <v>17</v>
      </c>
      <c r="C18" s="55"/>
      <c r="D18" s="55"/>
      <c r="E18" s="56"/>
      <c r="F18" s="56"/>
      <c r="G18" s="55"/>
      <c r="H18" s="49"/>
      <c r="I18" s="51">
        <f t="shared" si="1"/>
        <v>3050</v>
      </c>
      <c r="J18" s="58">
        <v>800</v>
      </c>
      <c r="K18" s="58"/>
      <c r="L18" s="58">
        <v>2250</v>
      </c>
      <c r="M18" s="52"/>
    </row>
    <row r="19" spans="1:13" s="35" customFormat="1" ht="75" x14ac:dyDescent="0.3">
      <c r="A19" s="42">
        <v>4</v>
      </c>
      <c r="B19" s="43" t="s">
        <v>50</v>
      </c>
      <c r="C19" s="42">
        <v>5</v>
      </c>
      <c r="D19" s="42">
        <v>90000</v>
      </c>
      <c r="E19" s="44">
        <f>450000/1000</f>
        <v>450</v>
      </c>
      <c r="F19" s="45">
        <f>-G19</f>
        <v>0</v>
      </c>
      <c r="G19" s="45">
        <v>0</v>
      </c>
      <c r="H19" s="43" t="s">
        <v>46</v>
      </c>
      <c r="I19" s="46">
        <f t="shared" si="1"/>
        <v>2774</v>
      </c>
      <c r="J19" s="47">
        <f>+J20+J21</f>
        <v>1200</v>
      </c>
      <c r="K19" s="47">
        <f>+K20+K21</f>
        <v>1574</v>
      </c>
      <c r="L19" s="47">
        <f>+L20+L21</f>
        <v>0</v>
      </c>
      <c r="M19" s="47">
        <f>+M20+M21</f>
        <v>0</v>
      </c>
    </row>
    <row r="20" spans="1:13" s="53" customFormat="1" ht="18.75" x14ac:dyDescent="0.25">
      <c r="A20" s="54" t="s">
        <v>29</v>
      </c>
      <c r="B20" s="49" t="s">
        <v>16</v>
      </c>
      <c r="C20" s="55"/>
      <c r="D20" s="55"/>
      <c r="E20" s="56"/>
      <c r="F20" s="56"/>
      <c r="G20" s="55"/>
      <c r="H20" s="57"/>
      <c r="I20" s="51">
        <f t="shared" si="1"/>
        <v>1000</v>
      </c>
      <c r="J20" s="18">
        <v>400</v>
      </c>
      <c r="K20" s="18">
        <v>600</v>
      </c>
      <c r="L20" s="18"/>
      <c r="M20" s="18"/>
    </row>
    <row r="21" spans="1:13" s="53" customFormat="1" ht="18.75" x14ac:dyDescent="0.25">
      <c r="A21" s="54" t="s">
        <v>30</v>
      </c>
      <c r="B21" s="49" t="s">
        <v>17</v>
      </c>
      <c r="C21" s="55"/>
      <c r="D21" s="55"/>
      <c r="E21" s="56"/>
      <c r="F21" s="56"/>
      <c r="G21" s="55"/>
      <c r="H21" s="49"/>
      <c r="I21" s="51">
        <f t="shared" si="1"/>
        <v>1774</v>
      </c>
      <c r="J21" s="18">
        <v>800</v>
      </c>
      <c r="K21" s="18">
        <v>974</v>
      </c>
      <c r="L21" s="18"/>
      <c r="M21" s="18"/>
    </row>
    <row r="22" spans="1:13" s="35" customFormat="1" ht="75" x14ac:dyDescent="0.3">
      <c r="A22" s="42">
        <v>5</v>
      </c>
      <c r="B22" s="43" t="s">
        <v>51</v>
      </c>
      <c r="C22" s="42">
        <v>8</v>
      </c>
      <c r="D22" s="42">
        <v>10000</v>
      </c>
      <c r="E22" s="44">
        <f>80000/1000</f>
        <v>80</v>
      </c>
      <c r="F22" s="45">
        <v>17520</v>
      </c>
      <c r="G22" s="45">
        <v>7600</v>
      </c>
      <c r="H22" s="43" t="s">
        <v>46</v>
      </c>
      <c r="I22" s="46">
        <f t="shared" si="1"/>
        <v>1930</v>
      </c>
      <c r="J22" s="47">
        <f>+J23+J24</f>
        <v>0</v>
      </c>
      <c r="K22" s="47">
        <f>+K23+K24</f>
        <v>560</v>
      </c>
      <c r="L22" s="47">
        <f>+L23+L24</f>
        <v>880</v>
      </c>
      <c r="M22" s="47">
        <f>+M23+M24</f>
        <v>490</v>
      </c>
    </row>
    <row r="23" spans="1:13" s="53" customFormat="1" ht="15.75" x14ac:dyDescent="0.25">
      <c r="A23" s="54" t="s">
        <v>34</v>
      </c>
      <c r="B23" s="49" t="s">
        <v>16</v>
      </c>
      <c r="C23" s="55"/>
      <c r="D23" s="55"/>
      <c r="E23" s="56"/>
      <c r="F23" s="56"/>
      <c r="G23" s="55"/>
      <c r="H23" s="57"/>
      <c r="I23" s="51">
        <f t="shared" si="1"/>
        <v>490</v>
      </c>
      <c r="J23" s="58"/>
      <c r="K23" s="58"/>
      <c r="L23" s="58"/>
      <c r="M23" s="58">
        <v>490</v>
      </c>
    </row>
    <row r="24" spans="1:13" s="53" customFormat="1" ht="15.75" x14ac:dyDescent="0.25">
      <c r="A24" s="54" t="s">
        <v>35</v>
      </c>
      <c r="B24" s="49" t="s">
        <v>17</v>
      </c>
      <c r="C24" s="55"/>
      <c r="D24" s="55"/>
      <c r="E24" s="56"/>
      <c r="F24" s="56"/>
      <c r="G24" s="55"/>
      <c r="H24" s="49"/>
      <c r="I24" s="51">
        <f t="shared" si="1"/>
        <v>1440</v>
      </c>
      <c r="J24" s="58"/>
      <c r="K24" s="58">
        <v>560</v>
      </c>
      <c r="L24" s="58">
        <v>880</v>
      </c>
      <c r="M24" s="58"/>
    </row>
    <row r="25" spans="1:13" x14ac:dyDescent="0.25">
      <c r="A25" s="2"/>
      <c r="B25" s="2"/>
      <c r="C25" s="2"/>
      <c r="D25" s="2"/>
      <c r="E25" s="2"/>
      <c r="F25" s="2"/>
      <c r="G25" s="2"/>
      <c r="H25" s="2"/>
      <c r="I25" s="31"/>
      <c r="J25" s="31"/>
      <c r="K25" s="31"/>
      <c r="L25" s="31"/>
      <c r="M25" s="31"/>
    </row>
  </sheetData>
  <mergeCells count="9">
    <mergeCell ref="B2:M2"/>
    <mergeCell ref="I4:I5"/>
    <mergeCell ref="J4:M4"/>
    <mergeCell ref="A4:A5"/>
    <mergeCell ref="B4:B5"/>
    <mergeCell ref="C4:C5"/>
    <mergeCell ref="D4:D5"/>
    <mergeCell ref="E4:G4"/>
    <mergeCell ref="H4:H5"/>
  </mergeCells>
  <pageMargins left="0.11811023622047245" right="0.11811023622047245" top="0.19685039370078741" bottom="0.19685039370078741" header="0.31496062992125984" footer="0.31496062992125984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жами лойиха</vt:lpstr>
      <vt:lpstr>броллер</vt:lpstr>
      <vt:lpstr>дастгох</vt:lpstr>
      <vt:lpstr>тухум1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 tech</dc:creator>
  <cp:lastModifiedBy>User</cp:lastModifiedBy>
  <cp:lastPrinted>2026-08-21T05:22:26Z</cp:lastPrinted>
  <dcterms:created xsi:type="dcterms:W3CDTF">2026-07-28T11:26:36Z</dcterms:created>
  <dcterms:modified xsi:type="dcterms:W3CDTF">2026-09-27T17:04:17Z</dcterms:modified>
</cp:coreProperties>
</file>